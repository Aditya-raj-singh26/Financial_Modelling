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ity\OneDrive\Desktop\"/>
    </mc:Choice>
  </mc:AlternateContent>
  <xr:revisionPtr revIDLastSave="0" documentId="13_ncr:1_{E37DC267-DA1C-46AE-928C-73FAF182D356}" xr6:coauthVersionLast="47" xr6:coauthVersionMax="47" xr10:uidLastSave="{00000000-0000-0000-0000-000000000000}"/>
  <bookViews>
    <workbookView xWindow="-108" yWindow="-108" windowWidth="23256" windowHeight="12456" tabRatio="742" firstSheet="3" activeTab="5" xr2:uid="{00000000-000D-0000-FFFF-FFFF00000000}"/>
  </bookViews>
  <sheets>
    <sheet name="Financials" sheetId="8" r:id="rId1"/>
    <sheet name="Ratio analysis" sheetId="10" r:id="rId2"/>
    <sheet name="Forecasting" sheetId="11" r:id="rId3"/>
    <sheet name="Common Size Statement" sheetId="12" r:id="rId4"/>
    <sheet name="Intrinsic Growth" sheetId="14" r:id="rId5"/>
    <sheet name="DCF" sheetId="16" r:id="rId6"/>
    <sheet name="Historical FS" sheetId="7" r:id="rId7"/>
    <sheet name="Data &gt;" sheetId="5" r:id="rId8"/>
    <sheet name="Data Sheet" sheetId="6" r:id="rId9"/>
    <sheet name="Data Room &gt;" sheetId="13" r:id="rId10"/>
    <sheet name="Cashflow Data" sheetId="9" r:id="rId11"/>
    <sheet name="Raw FS" sheetId="15" r:id="rId12"/>
  </sheets>
  <externalReferences>
    <externalReference r:id="rId13"/>
  </externalReference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37" i="16" l="1"/>
  <c r="E34" i="16"/>
  <c r="E33" i="16"/>
  <c r="E22" i="16"/>
  <c r="E21" i="16"/>
  <c r="H10" i="16"/>
  <c r="G10" i="16"/>
  <c r="H9" i="16"/>
  <c r="I9" i="16" s="1"/>
  <c r="F4" i="16"/>
  <c r="F6" i="16" s="1"/>
  <c r="F8" i="16" s="1"/>
  <c r="F2" i="16"/>
  <c r="G2" i="16" s="1"/>
  <c r="H2" i="16" s="1"/>
  <c r="I2" i="16" s="1"/>
  <c r="J2" i="16" s="1"/>
  <c r="K2" i="16" s="1"/>
  <c r="F41" i="14"/>
  <c r="G41" i="14"/>
  <c r="H41" i="14"/>
  <c r="I41" i="14"/>
  <c r="E41" i="14"/>
  <c r="F39" i="14"/>
  <c r="G39" i="14"/>
  <c r="H39" i="14"/>
  <c r="I39" i="14"/>
  <c r="E39" i="14"/>
  <c r="I31" i="14"/>
  <c r="H31" i="14"/>
  <c r="G31" i="14"/>
  <c r="F31" i="14"/>
  <c r="E31" i="14"/>
  <c r="I29" i="14"/>
  <c r="H29" i="14"/>
  <c r="G29" i="14"/>
  <c r="F29" i="14"/>
  <c r="E29" i="14"/>
  <c r="B29" i="14"/>
  <c r="I28" i="14"/>
  <c r="H28" i="14"/>
  <c r="G28" i="14"/>
  <c r="F28" i="14"/>
  <c r="E28" i="14"/>
  <c r="B28" i="14"/>
  <c r="I27" i="14"/>
  <c r="H27" i="14"/>
  <c r="G27" i="14"/>
  <c r="F27" i="14"/>
  <c r="E27" i="14"/>
  <c r="B27" i="14"/>
  <c r="I26" i="14"/>
  <c r="H26" i="14"/>
  <c r="G26" i="14"/>
  <c r="F26" i="14"/>
  <c r="E26" i="14"/>
  <c r="B26" i="14"/>
  <c r="I25" i="14"/>
  <c r="H25" i="14"/>
  <c r="G25" i="14"/>
  <c r="F25" i="14"/>
  <c r="E25" i="14"/>
  <c r="B25" i="14"/>
  <c r="I24" i="14"/>
  <c r="H24" i="14"/>
  <c r="G24" i="14"/>
  <c r="F24" i="14"/>
  <c r="E24" i="14"/>
  <c r="B24" i="14"/>
  <c r="I23" i="14"/>
  <c r="H23" i="14"/>
  <c r="G23" i="14"/>
  <c r="F23" i="14"/>
  <c r="E23" i="14"/>
  <c r="B23" i="14"/>
  <c r="I22" i="14"/>
  <c r="H22" i="14"/>
  <c r="G22" i="14"/>
  <c r="F22" i="14"/>
  <c r="E22" i="14"/>
  <c r="B22" i="14"/>
  <c r="I16" i="14"/>
  <c r="H16" i="14"/>
  <c r="G16" i="14"/>
  <c r="F16" i="14"/>
  <c r="E16" i="14"/>
  <c r="B16" i="14"/>
  <c r="I15" i="14"/>
  <c r="H15" i="14"/>
  <c r="G15" i="14"/>
  <c r="F15" i="14"/>
  <c r="E15" i="14"/>
  <c r="B15" i="14"/>
  <c r="I14" i="14"/>
  <c r="H14" i="14"/>
  <c r="G14" i="14"/>
  <c r="F14" i="14"/>
  <c r="E14" i="14"/>
  <c r="E17" i="14" s="1"/>
  <c r="B14" i="14"/>
  <c r="I9" i="14"/>
  <c r="H9" i="14"/>
  <c r="G9" i="14"/>
  <c r="F9" i="14"/>
  <c r="E9" i="14"/>
  <c r="B9" i="14"/>
  <c r="I8" i="14"/>
  <c r="H8" i="14"/>
  <c r="G8" i="14"/>
  <c r="F8" i="14"/>
  <c r="E8" i="14"/>
  <c r="B8" i="14"/>
  <c r="I7" i="14"/>
  <c r="H7" i="14"/>
  <c r="G7" i="14"/>
  <c r="F7" i="14"/>
  <c r="E7" i="14"/>
  <c r="B7" i="14"/>
  <c r="I6" i="14"/>
  <c r="H6" i="14"/>
  <c r="G6" i="14"/>
  <c r="F6" i="14"/>
  <c r="E6" i="14"/>
  <c r="B6" i="14"/>
  <c r="I5" i="14"/>
  <c r="H5" i="14"/>
  <c r="G5" i="14"/>
  <c r="F5" i="14"/>
  <c r="E5" i="14"/>
  <c r="B5" i="14"/>
  <c r="I2" i="14"/>
  <c r="H2" i="14"/>
  <c r="G2" i="14"/>
  <c r="F2" i="14"/>
  <c r="E2" i="14"/>
  <c r="M26" i="13"/>
  <c r="L26" i="13"/>
  <c r="K26" i="13"/>
  <c r="J26" i="13"/>
  <c r="I26" i="13"/>
  <c r="H26" i="13"/>
  <c r="G26" i="13"/>
  <c r="F26" i="13"/>
  <c r="E26" i="13"/>
  <c r="D26" i="13"/>
  <c r="C26" i="13"/>
  <c r="B26" i="13"/>
  <c r="C34" i="12"/>
  <c r="D34" i="12"/>
  <c r="E34" i="12"/>
  <c r="F34" i="12"/>
  <c r="G34" i="12"/>
  <c r="H34" i="12"/>
  <c r="I34" i="12"/>
  <c r="J34" i="12"/>
  <c r="K34" i="12"/>
  <c r="L34" i="12"/>
  <c r="C35" i="12"/>
  <c r="D35" i="12"/>
  <c r="E35" i="12"/>
  <c r="F35" i="12"/>
  <c r="G35" i="12"/>
  <c r="H35" i="12"/>
  <c r="I35" i="12"/>
  <c r="J35" i="12"/>
  <c r="K35" i="12"/>
  <c r="L35" i="12"/>
  <c r="D33" i="12"/>
  <c r="E33" i="12"/>
  <c r="F33" i="12"/>
  <c r="G33" i="12"/>
  <c r="H33" i="12"/>
  <c r="I33" i="12"/>
  <c r="J33" i="12"/>
  <c r="K33" i="12"/>
  <c r="L33" i="12"/>
  <c r="C33" i="12"/>
  <c r="H39" i="12"/>
  <c r="I39" i="12"/>
  <c r="C39" i="12"/>
  <c r="C37" i="12"/>
  <c r="D37" i="12"/>
  <c r="E37" i="12"/>
  <c r="F37" i="12"/>
  <c r="G37" i="12"/>
  <c r="H37" i="12"/>
  <c r="I37" i="12"/>
  <c r="J37" i="12"/>
  <c r="K37" i="12"/>
  <c r="L37" i="12"/>
  <c r="C38" i="12"/>
  <c r="D38" i="12"/>
  <c r="E38" i="12"/>
  <c r="F38" i="12"/>
  <c r="G38" i="12"/>
  <c r="H38" i="12"/>
  <c r="I38" i="12"/>
  <c r="J38" i="12"/>
  <c r="K38" i="12"/>
  <c r="L38" i="12"/>
  <c r="D36" i="12"/>
  <c r="E36" i="12"/>
  <c r="F36" i="12"/>
  <c r="G36" i="12"/>
  <c r="H36" i="12"/>
  <c r="I36" i="12"/>
  <c r="J36" i="12"/>
  <c r="K36" i="12"/>
  <c r="L36" i="12"/>
  <c r="C36" i="12"/>
  <c r="D32" i="12"/>
  <c r="E32" i="12"/>
  <c r="F32" i="12"/>
  <c r="G32" i="12"/>
  <c r="H32" i="12"/>
  <c r="I32" i="12"/>
  <c r="J32" i="12"/>
  <c r="K32" i="12"/>
  <c r="L32" i="12"/>
  <c r="C32" i="12"/>
  <c r="C74" i="6"/>
  <c r="D39" i="12" s="1"/>
  <c r="D74" i="6"/>
  <c r="E39" i="12" s="1"/>
  <c r="E74" i="6"/>
  <c r="F39" i="12" s="1"/>
  <c r="F74" i="6"/>
  <c r="G39" i="12" s="1"/>
  <c r="G74" i="6"/>
  <c r="H74" i="6"/>
  <c r="I74" i="6"/>
  <c r="J39" i="12" s="1"/>
  <c r="J74" i="6"/>
  <c r="K39" i="12" s="1"/>
  <c r="K74" i="6"/>
  <c r="L39" i="12" s="1"/>
  <c r="B74" i="6"/>
  <c r="C27" i="12"/>
  <c r="D27" i="12"/>
  <c r="E27" i="12"/>
  <c r="F27" i="12"/>
  <c r="G27" i="12"/>
  <c r="H27" i="12"/>
  <c r="I27" i="12"/>
  <c r="J27" i="12"/>
  <c r="K27" i="12"/>
  <c r="L27" i="12"/>
  <c r="C28" i="12"/>
  <c r="D28" i="12"/>
  <c r="E28" i="12"/>
  <c r="F28" i="12"/>
  <c r="G28" i="12"/>
  <c r="H28" i="12"/>
  <c r="I28" i="12"/>
  <c r="J28" i="12"/>
  <c r="K28" i="12"/>
  <c r="L28" i="12"/>
  <c r="C29" i="12"/>
  <c r="D29" i="12"/>
  <c r="E29" i="12"/>
  <c r="F29" i="12"/>
  <c r="G29" i="12"/>
  <c r="H29" i="12"/>
  <c r="I29" i="12"/>
  <c r="J29" i="12"/>
  <c r="K29" i="12"/>
  <c r="L29" i="12"/>
  <c r="C30" i="12"/>
  <c r="D30" i="12"/>
  <c r="E30" i="12"/>
  <c r="F30" i="12"/>
  <c r="G30" i="12"/>
  <c r="H30" i="12"/>
  <c r="I30" i="12"/>
  <c r="J30" i="12"/>
  <c r="K30" i="12"/>
  <c r="L30" i="12"/>
  <c r="B28" i="12"/>
  <c r="B29" i="12"/>
  <c r="B30" i="12"/>
  <c r="B27" i="12"/>
  <c r="C26" i="12"/>
  <c r="D26" i="12"/>
  <c r="E26" i="12"/>
  <c r="F26" i="12"/>
  <c r="G26" i="12"/>
  <c r="H26" i="12"/>
  <c r="I26" i="12"/>
  <c r="J26" i="12"/>
  <c r="K26" i="12"/>
  <c r="L26" i="12"/>
  <c r="D24" i="12"/>
  <c r="E24" i="12"/>
  <c r="F24" i="12"/>
  <c r="G24" i="12"/>
  <c r="H24" i="12"/>
  <c r="I24" i="12"/>
  <c r="J24" i="12"/>
  <c r="K24" i="12"/>
  <c r="L24" i="12"/>
  <c r="C24" i="12"/>
  <c r="B22" i="12"/>
  <c r="C5" i="12"/>
  <c r="C6" i="12"/>
  <c r="D6" i="12"/>
  <c r="E6" i="12"/>
  <c r="F6" i="12"/>
  <c r="G6" i="12"/>
  <c r="H6" i="12"/>
  <c r="I6" i="12"/>
  <c r="J6" i="12"/>
  <c r="K6" i="12"/>
  <c r="L6" i="12"/>
  <c r="C7" i="12"/>
  <c r="D7" i="12"/>
  <c r="E7" i="12"/>
  <c r="F7" i="12"/>
  <c r="G7" i="12"/>
  <c r="H7" i="12"/>
  <c r="I7" i="12"/>
  <c r="J7" i="12"/>
  <c r="K7" i="12"/>
  <c r="L7" i="12"/>
  <c r="C8" i="12"/>
  <c r="D8" i="12"/>
  <c r="E8" i="12"/>
  <c r="F8" i="12"/>
  <c r="G8" i="12"/>
  <c r="H8" i="12"/>
  <c r="I8" i="12"/>
  <c r="J8" i="12"/>
  <c r="K8" i="12"/>
  <c r="L8" i="12"/>
  <c r="C9" i="12"/>
  <c r="D9" i="12"/>
  <c r="E9" i="12"/>
  <c r="F9" i="12"/>
  <c r="G9" i="12"/>
  <c r="H9" i="12"/>
  <c r="I9" i="12"/>
  <c r="J9" i="12"/>
  <c r="K9" i="12"/>
  <c r="L9" i="12"/>
  <c r="C10" i="12"/>
  <c r="D10" i="12"/>
  <c r="E10" i="12"/>
  <c r="F10" i="12"/>
  <c r="G10" i="12"/>
  <c r="H10" i="12"/>
  <c r="I10" i="12"/>
  <c r="J10" i="12"/>
  <c r="K10" i="12"/>
  <c r="L10" i="12"/>
  <c r="C11" i="12"/>
  <c r="D11" i="12"/>
  <c r="E11" i="12"/>
  <c r="F11" i="12"/>
  <c r="G11" i="12"/>
  <c r="H11" i="12"/>
  <c r="I11" i="12"/>
  <c r="J11" i="12"/>
  <c r="K11" i="12"/>
  <c r="L11" i="12"/>
  <c r="C12" i="12"/>
  <c r="D12" i="12"/>
  <c r="E12" i="12"/>
  <c r="F12" i="12"/>
  <c r="G12" i="12"/>
  <c r="H12" i="12"/>
  <c r="I12" i="12"/>
  <c r="J12" i="12"/>
  <c r="K12" i="12"/>
  <c r="L12" i="12"/>
  <c r="C13" i="12"/>
  <c r="D13" i="12"/>
  <c r="E13" i="12"/>
  <c r="F13" i="12"/>
  <c r="G13" i="12"/>
  <c r="H13" i="12"/>
  <c r="I13" i="12"/>
  <c r="J13" i="12"/>
  <c r="K13" i="12"/>
  <c r="L13" i="12"/>
  <c r="C14" i="12"/>
  <c r="D14" i="12"/>
  <c r="E14" i="12"/>
  <c r="F14" i="12"/>
  <c r="G14" i="12"/>
  <c r="H14" i="12"/>
  <c r="I14" i="12"/>
  <c r="J14" i="12"/>
  <c r="K14" i="12"/>
  <c r="L14" i="12"/>
  <c r="C15" i="12"/>
  <c r="D15" i="12"/>
  <c r="E15" i="12"/>
  <c r="F15" i="12"/>
  <c r="G15" i="12"/>
  <c r="H15" i="12"/>
  <c r="I15" i="12"/>
  <c r="J15" i="12"/>
  <c r="K15" i="12"/>
  <c r="L15" i="12"/>
  <c r="C16" i="12"/>
  <c r="D16" i="12"/>
  <c r="E16" i="12"/>
  <c r="F16" i="12"/>
  <c r="G16" i="12"/>
  <c r="H16" i="12"/>
  <c r="I16" i="12"/>
  <c r="J16" i="12"/>
  <c r="K16" i="12"/>
  <c r="L16" i="12"/>
  <c r="C17" i="12"/>
  <c r="D17" i="12"/>
  <c r="E17" i="12"/>
  <c r="F17" i="12"/>
  <c r="G17" i="12"/>
  <c r="H17" i="12"/>
  <c r="I17" i="12"/>
  <c r="J17" i="12"/>
  <c r="K17" i="12"/>
  <c r="L17" i="12"/>
  <c r="C18" i="12"/>
  <c r="C20" i="12" s="1"/>
  <c r="D18" i="12"/>
  <c r="D20" i="12" s="1"/>
  <c r="E18" i="12"/>
  <c r="E20" i="12" s="1"/>
  <c r="F18" i="12"/>
  <c r="F20" i="12" s="1"/>
  <c r="G18" i="12"/>
  <c r="G20" i="12" s="1"/>
  <c r="H18" i="12"/>
  <c r="H20" i="12" s="1"/>
  <c r="I18" i="12"/>
  <c r="I20" i="12" s="1"/>
  <c r="J18" i="12"/>
  <c r="J20" i="12" s="1"/>
  <c r="K18" i="12"/>
  <c r="K20" i="12" s="1"/>
  <c r="L18" i="12"/>
  <c r="L20" i="12" s="1"/>
  <c r="C19" i="12"/>
  <c r="D19" i="12"/>
  <c r="E19" i="12"/>
  <c r="F19" i="12"/>
  <c r="G19" i="12"/>
  <c r="H19" i="12"/>
  <c r="I19" i="12"/>
  <c r="J19" i="12"/>
  <c r="K19" i="12"/>
  <c r="L19" i="12"/>
  <c r="D5" i="12"/>
  <c r="E5" i="12"/>
  <c r="F5" i="12"/>
  <c r="G5" i="12"/>
  <c r="H5" i="12"/>
  <c r="I5" i="12"/>
  <c r="J5" i="12"/>
  <c r="K5" i="12"/>
  <c r="L5" i="12"/>
  <c r="B6" i="12"/>
  <c r="B7" i="12"/>
  <c r="B8" i="12"/>
  <c r="B9" i="12"/>
  <c r="B10" i="12"/>
  <c r="B11" i="12"/>
  <c r="B12" i="12"/>
  <c r="B13" i="12"/>
  <c r="B14" i="12"/>
  <c r="B15" i="12"/>
  <c r="B16" i="12"/>
  <c r="B17" i="12"/>
  <c r="B18" i="12"/>
  <c r="B19" i="12"/>
  <c r="B5" i="12"/>
  <c r="L4" i="12"/>
  <c r="D4" i="12"/>
  <c r="E4" i="12"/>
  <c r="F4" i="12"/>
  <c r="G4" i="12"/>
  <c r="H4" i="12"/>
  <c r="I4" i="12"/>
  <c r="J4" i="12"/>
  <c r="K4" i="12"/>
  <c r="C4" i="12"/>
  <c r="B2" i="12"/>
  <c r="I4" i="11"/>
  <c r="I5" i="11" s="1"/>
  <c r="I6" i="11" s="1"/>
  <c r="I7" i="11" s="1"/>
  <c r="I8" i="11" s="1"/>
  <c r="I9" i="11" s="1"/>
  <c r="I10" i="11" s="1"/>
  <c r="I11" i="11" s="1"/>
  <c r="I12" i="11" s="1"/>
  <c r="I13" i="11" s="1"/>
  <c r="I14" i="11" s="1"/>
  <c r="I15" i="11" s="1"/>
  <c r="I16" i="11" s="1"/>
  <c r="I17" i="11" s="1"/>
  <c r="I18" i="11" s="1"/>
  <c r="H4" i="11"/>
  <c r="H5" i="11" s="1"/>
  <c r="H6" i="11" s="1"/>
  <c r="H7" i="11" s="1"/>
  <c r="H8" i="11" s="1"/>
  <c r="H9" i="11" s="1"/>
  <c r="H10" i="11" s="1"/>
  <c r="H11" i="11" s="1"/>
  <c r="H12" i="11" s="1"/>
  <c r="H13" i="11" s="1"/>
  <c r="H14" i="11" s="1"/>
  <c r="H15" i="11" s="1"/>
  <c r="H16" i="11" s="1"/>
  <c r="H17" i="11" s="1"/>
  <c r="H18" i="11" s="1"/>
  <c r="D15" i="11"/>
  <c r="D16" i="11"/>
  <c r="E16" i="11" s="1"/>
  <c r="D17" i="11"/>
  <c r="E17" i="11" s="1"/>
  <c r="E6" i="11"/>
  <c r="E7" i="11"/>
  <c r="E8" i="11"/>
  <c r="E9" i="11"/>
  <c r="E10" i="11"/>
  <c r="E11" i="11"/>
  <c r="E12" i="11"/>
  <c r="E13" i="11"/>
  <c r="D4" i="11" a="1"/>
  <c r="D4" i="11" s="1"/>
  <c r="E5" i="11" s="1"/>
  <c r="H2" i="11"/>
  <c r="B2" i="11"/>
  <c r="C4" i="11"/>
  <c r="C5" i="11" s="1"/>
  <c r="C6" i="11" s="1"/>
  <c r="C7" i="11" s="1"/>
  <c r="C8" i="11" s="1"/>
  <c r="C9" i="11" s="1"/>
  <c r="C10" i="11" s="1"/>
  <c r="C11" i="11" s="1"/>
  <c r="C12" i="11" s="1"/>
  <c r="C13" i="11" s="1"/>
  <c r="C14" i="11" s="1"/>
  <c r="C15" i="11" s="1"/>
  <c r="C16" i="11" s="1"/>
  <c r="C17" i="11" s="1"/>
  <c r="C18" i="11" s="1"/>
  <c r="B4" i="1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D18" i="11" s="1"/>
  <c r="E18" i="11" s="1"/>
  <c r="J9" i="16" l="1"/>
  <c r="I10" i="16"/>
  <c r="G4" i="16"/>
  <c r="F17" i="14"/>
  <c r="G17" i="14"/>
  <c r="H17" i="14"/>
  <c r="H30" i="14"/>
  <c r="G30" i="14"/>
  <c r="G32" i="14" s="1"/>
  <c r="H32" i="14"/>
  <c r="F30" i="14"/>
  <c r="F32" i="14" s="1"/>
  <c r="E10" i="14"/>
  <c r="E19" i="14" s="1"/>
  <c r="E30" i="14"/>
  <c r="E32" i="14" s="1"/>
  <c r="D14" i="11"/>
  <c r="E14" i="11" s="1"/>
  <c r="I17" i="14"/>
  <c r="I30" i="14"/>
  <c r="I32" i="14" s="1"/>
  <c r="G10" i="14"/>
  <c r="G19" i="14" s="1"/>
  <c r="I10" i="14"/>
  <c r="F10" i="14"/>
  <c r="F19" i="14" s="1"/>
  <c r="H10" i="14"/>
  <c r="H19" i="14" s="1"/>
  <c r="H4" i="16" l="1"/>
  <c r="G6" i="16"/>
  <c r="G8" i="16" s="1"/>
  <c r="G12" i="16" s="1"/>
  <c r="K9" i="16"/>
  <c r="K10" i="16" s="1"/>
  <c r="J10" i="16"/>
  <c r="I19" i="14"/>
  <c r="E34" i="14"/>
  <c r="E15" i="11"/>
  <c r="I34" i="14"/>
  <c r="I42" i="14"/>
  <c r="I48" i="14" s="1"/>
  <c r="I49" i="14" s="1"/>
  <c r="I57" i="14" s="1"/>
  <c r="G34" i="14"/>
  <c r="G42" i="14"/>
  <c r="G48" i="14" s="1"/>
  <c r="G49" i="14" s="1"/>
  <c r="G57" i="14" s="1"/>
  <c r="H34" i="14"/>
  <c r="H42" i="14"/>
  <c r="H48" i="14" s="1"/>
  <c r="H49" i="14" s="1"/>
  <c r="H57" i="14" s="1"/>
  <c r="F34" i="14"/>
  <c r="F42" i="14"/>
  <c r="F48" i="14" s="1"/>
  <c r="F49" i="14" s="1"/>
  <c r="E28" i="10"/>
  <c r="E35" i="10" s="1"/>
  <c r="E29" i="10"/>
  <c r="E36" i="10" s="1"/>
  <c r="G29" i="10"/>
  <c r="G36" i="10" s="1"/>
  <c r="H29" i="10"/>
  <c r="H36" i="10" s="1"/>
  <c r="C29" i="10"/>
  <c r="C36" i="10" s="1"/>
  <c r="C28" i="10"/>
  <c r="C35" i="10" s="1"/>
  <c r="B2" i="10"/>
  <c r="L3" i="10"/>
  <c r="K3" i="10"/>
  <c r="J3" i="10"/>
  <c r="I3" i="10"/>
  <c r="H3" i="10"/>
  <c r="G3" i="10"/>
  <c r="F3" i="10"/>
  <c r="E3" i="10"/>
  <c r="D3" i="10"/>
  <c r="C3" i="10"/>
  <c r="C96" i="7"/>
  <c r="D96" i="7"/>
  <c r="E96" i="7"/>
  <c r="F96" i="7"/>
  <c r="G96" i="7"/>
  <c r="H96" i="7"/>
  <c r="I96" i="7"/>
  <c r="J96" i="7"/>
  <c r="K96" i="7"/>
  <c r="L96" i="7"/>
  <c r="C97" i="7"/>
  <c r="D97" i="7"/>
  <c r="E97" i="7"/>
  <c r="F97" i="7"/>
  <c r="G97" i="7"/>
  <c r="H97" i="7"/>
  <c r="I97" i="7"/>
  <c r="J97" i="7"/>
  <c r="K97" i="7"/>
  <c r="L97" i="7"/>
  <c r="C98" i="7"/>
  <c r="D98" i="7"/>
  <c r="E98" i="7"/>
  <c r="F98" i="7"/>
  <c r="G98" i="7"/>
  <c r="H98" i="7"/>
  <c r="I98" i="7"/>
  <c r="J98" i="7"/>
  <c r="K98" i="7"/>
  <c r="L98" i="7"/>
  <c r="C99" i="7"/>
  <c r="D99" i="7"/>
  <c r="E99" i="7"/>
  <c r="F99" i="7"/>
  <c r="G99" i="7"/>
  <c r="H99" i="7"/>
  <c r="I99" i="7"/>
  <c r="J99" i="7"/>
  <c r="J104" i="7" s="1"/>
  <c r="K99" i="7"/>
  <c r="L99" i="7"/>
  <c r="C100" i="7"/>
  <c r="D100" i="7"/>
  <c r="E100" i="7"/>
  <c r="F100" i="7"/>
  <c r="G100" i="7"/>
  <c r="H100" i="7"/>
  <c r="I100" i="7"/>
  <c r="J100" i="7"/>
  <c r="K100" i="7"/>
  <c r="L100" i="7"/>
  <c r="C101" i="7"/>
  <c r="D101" i="7"/>
  <c r="E101" i="7"/>
  <c r="F101" i="7"/>
  <c r="G101" i="7"/>
  <c r="H101" i="7"/>
  <c r="I101" i="7"/>
  <c r="J101" i="7"/>
  <c r="K101" i="7"/>
  <c r="L101" i="7"/>
  <c r="C102" i="7"/>
  <c r="D102" i="7"/>
  <c r="E102" i="7"/>
  <c r="F102" i="7"/>
  <c r="G102" i="7"/>
  <c r="H102" i="7"/>
  <c r="I102" i="7"/>
  <c r="J102" i="7"/>
  <c r="K102" i="7"/>
  <c r="L102" i="7"/>
  <c r="D95" i="7"/>
  <c r="D104" i="7" s="1"/>
  <c r="E95" i="7"/>
  <c r="F95" i="7"/>
  <c r="G95" i="7"/>
  <c r="G104" i="7" s="1"/>
  <c r="H95" i="7"/>
  <c r="I95" i="7"/>
  <c r="J95" i="7"/>
  <c r="K95" i="7"/>
  <c r="L95" i="7"/>
  <c r="C95" i="7"/>
  <c r="C80" i="7"/>
  <c r="D80" i="7"/>
  <c r="E80" i="7"/>
  <c r="F80" i="7"/>
  <c r="G80" i="7"/>
  <c r="H80" i="7"/>
  <c r="I80" i="7"/>
  <c r="J80" i="7"/>
  <c r="K80" i="7"/>
  <c r="L80" i="7"/>
  <c r="C81" i="7"/>
  <c r="D81" i="7"/>
  <c r="E81" i="7"/>
  <c r="F81" i="7"/>
  <c r="G81" i="7"/>
  <c r="H81" i="7"/>
  <c r="I81" i="7"/>
  <c r="J81" i="7"/>
  <c r="K81" i="7"/>
  <c r="L81" i="7"/>
  <c r="C82" i="7"/>
  <c r="D82" i="7"/>
  <c r="E82" i="7"/>
  <c r="F82" i="7"/>
  <c r="G82" i="7"/>
  <c r="H82" i="7"/>
  <c r="I82" i="7"/>
  <c r="J82" i="7"/>
  <c r="K82" i="7"/>
  <c r="L82" i="7"/>
  <c r="C83" i="7"/>
  <c r="D83" i="7"/>
  <c r="E83" i="7"/>
  <c r="F83" i="7"/>
  <c r="G83" i="7"/>
  <c r="H83" i="7"/>
  <c r="I83" i="7"/>
  <c r="J83" i="7"/>
  <c r="K83" i="7"/>
  <c r="L83" i="7"/>
  <c r="C84" i="7"/>
  <c r="D84" i="7"/>
  <c r="E84" i="7"/>
  <c r="F84" i="7"/>
  <c r="G84" i="7"/>
  <c r="H84" i="7"/>
  <c r="I84" i="7"/>
  <c r="J84" i="7"/>
  <c r="K84" i="7"/>
  <c r="L84" i="7"/>
  <c r="C85" i="7"/>
  <c r="D85" i="7"/>
  <c r="E85" i="7"/>
  <c r="F85" i="7"/>
  <c r="G85" i="7"/>
  <c r="H85" i="7"/>
  <c r="I85" i="7"/>
  <c r="J85" i="7"/>
  <c r="K85" i="7"/>
  <c r="L85" i="7"/>
  <c r="C86" i="7"/>
  <c r="D86" i="7"/>
  <c r="E86" i="7"/>
  <c r="F86" i="7"/>
  <c r="G86" i="7"/>
  <c r="H86" i="7"/>
  <c r="I86" i="7"/>
  <c r="J86" i="7"/>
  <c r="K86" i="7"/>
  <c r="L86" i="7"/>
  <c r="C87" i="7"/>
  <c r="D87" i="7"/>
  <c r="E87" i="7"/>
  <c r="F87" i="7"/>
  <c r="G87" i="7"/>
  <c r="H87" i="7"/>
  <c r="I87" i="7"/>
  <c r="J87" i="7"/>
  <c r="K87" i="7"/>
  <c r="L87" i="7"/>
  <c r="C88" i="7"/>
  <c r="D88" i="7"/>
  <c r="E88" i="7"/>
  <c r="F88" i="7"/>
  <c r="G88" i="7"/>
  <c r="H88" i="7"/>
  <c r="I88" i="7"/>
  <c r="J88" i="7"/>
  <c r="K88" i="7"/>
  <c r="L88" i="7"/>
  <c r="C89" i="7"/>
  <c r="D89" i="7"/>
  <c r="E89" i="7"/>
  <c r="F89" i="7"/>
  <c r="G89" i="7"/>
  <c r="H89" i="7"/>
  <c r="I89" i="7"/>
  <c r="J89" i="7"/>
  <c r="K89" i="7"/>
  <c r="L89" i="7"/>
  <c r="C90" i="7"/>
  <c r="D90" i="7"/>
  <c r="E90" i="7"/>
  <c r="F90" i="7"/>
  <c r="G90" i="7"/>
  <c r="H90" i="7"/>
  <c r="I90" i="7"/>
  <c r="J90" i="7"/>
  <c r="K90" i="7"/>
  <c r="L90" i="7"/>
  <c r="C91" i="7"/>
  <c r="D91" i="7"/>
  <c r="E91" i="7"/>
  <c r="F91" i="7"/>
  <c r="G91" i="7"/>
  <c r="H91" i="7"/>
  <c r="I91" i="7"/>
  <c r="J91" i="7"/>
  <c r="K91" i="7"/>
  <c r="L91" i="7"/>
  <c r="C92" i="7"/>
  <c r="D92" i="7"/>
  <c r="E92" i="7"/>
  <c r="F92" i="7"/>
  <c r="G92" i="7"/>
  <c r="H92" i="7"/>
  <c r="I92" i="7"/>
  <c r="J92" i="7"/>
  <c r="K92" i="7"/>
  <c r="L92" i="7"/>
  <c r="D79" i="7"/>
  <c r="E79" i="7"/>
  <c r="F79" i="7"/>
  <c r="G79" i="7"/>
  <c r="H79" i="7"/>
  <c r="I79" i="7"/>
  <c r="J79" i="7"/>
  <c r="K79" i="7"/>
  <c r="L79" i="7"/>
  <c r="C79" i="7"/>
  <c r="D68" i="7"/>
  <c r="E68" i="7"/>
  <c r="F68" i="7"/>
  <c r="G68" i="7"/>
  <c r="H68" i="7"/>
  <c r="H76" i="7" s="1"/>
  <c r="I68" i="7"/>
  <c r="J68" i="7"/>
  <c r="K68" i="7"/>
  <c r="K76" i="7" s="1"/>
  <c r="L68" i="7"/>
  <c r="D69" i="7"/>
  <c r="E69" i="7"/>
  <c r="F69" i="7"/>
  <c r="G69" i="7"/>
  <c r="H69" i="7"/>
  <c r="I69" i="7"/>
  <c r="J69" i="7"/>
  <c r="K69" i="7"/>
  <c r="L69" i="7"/>
  <c r="D70" i="7"/>
  <c r="E70" i="7"/>
  <c r="F70" i="7"/>
  <c r="G70" i="7"/>
  <c r="H70" i="7"/>
  <c r="I70" i="7"/>
  <c r="I76" i="7" s="1"/>
  <c r="J70" i="7"/>
  <c r="K70" i="7"/>
  <c r="L70" i="7"/>
  <c r="D71" i="7"/>
  <c r="E71" i="7"/>
  <c r="F71" i="7"/>
  <c r="G71" i="7"/>
  <c r="H71" i="7"/>
  <c r="I71" i="7"/>
  <c r="J71" i="7"/>
  <c r="K71" i="7"/>
  <c r="L71" i="7"/>
  <c r="D72" i="7"/>
  <c r="E72" i="7"/>
  <c r="F72" i="7"/>
  <c r="G72" i="7"/>
  <c r="H72" i="7"/>
  <c r="I72" i="7"/>
  <c r="J72" i="7"/>
  <c r="K72" i="7"/>
  <c r="L72" i="7"/>
  <c r="D73" i="7"/>
  <c r="E73" i="7"/>
  <c r="F73" i="7"/>
  <c r="G73" i="7"/>
  <c r="H73" i="7"/>
  <c r="I73" i="7"/>
  <c r="J73" i="7"/>
  <c r="K73" i="7"/>
  <c r="L73" i="7"/>
  <c r="D74" i="7"/>
  <c r="E74" i="7"/>
  <c r="F74" i="7"/>
  <c r="G74" i="7"/>
  <c r="H74" i="7"/>
  <c r="I74" i="7"/>
  <c r="J74" i="7"/>
  <c r="K74" i="7"/>
  <c r="L74" i="7"/>
  <c r="D75" i="7"/>
  <c r="E75" i="7"/>
  <c r="F75" i="7"/>
  <c r="G75" i="7"/>
  <c r="H75" i="7"/>
  <c r="I75" i="7"/>
  <c r="J75" i="7"/>
  <c r="K75" i="7"/>
  <c r="L75" i="7"/>
  <c r="C69" i="7"/>
  <c r="C70" i="7"/>
  <c r="C71" i="7"/>
  <c r="C72" i="7"/>
  <c r="C73" i="7"/>
  <c r="C74" i="7"/>
  <c r="C75" i="7"/>
  <c r="C68" i="7"/>
  <c r="E60" i="7"/>
  <c r="E62" i="7" s="1"/>
  <c r="G60" i="7"/>
  <c r="G62" i="7" s="1"/>
  <c r="H60" i="7"/>
  <c r="H62" i="7" s="1"/>
  <c r="D55" i="7"/>
  <c r="E55" i="7"/>
  <c r="F55" i="7"/>
  <c r="G55" i="7"/>
  <c r="H55" i="7"/>
  <c r="I55" i="7"/>
  <c r="J55" i="7"/>
  <c r="K55" i="7"/>
  <c r="L55" i="7"/>
  <c r="C55" i="7"/>
  <c r="C58" i="7"/>
  <c r="D58" i="7"/>
  <c r="E58" i="7"/>
  <c r="F58" i="7"/>
  <c r="F60" i="7" s="1"/>
  <c r="F62" i="7" s="1"/>
  <c r="G58" i="7"/>
  <c r="H58" i="7"/>
  <c r="H30" i="10" s="1"/>
  <c r="H37" i="10" s="1"/>
  <c r="I58" i="7"/>
  <c r="J58" i="7"/>
  <c r="J30" i="10" s="1"/>
  <c r="J37" i="10" s="1"/>
  <c r="K58" i="7"/>
  <c r="K30" i="10" s="1"/>
  <c r="K37" i="10" s="1"/>
  <c r="L58" i="7"/>
  <c r="C59" i="7"/>
  <c r="D59" i="7"/>
  <c r="E59" i="7"/>
  <c r="F59" i="7"/>
  <c r="G59" i="7"/>
  <c r="H59" i="7"/>
  <c r="I59" i="7"/>
  <c r="J59" i="7"/>
  <c r="K59" i="7"/>
  <c r="L59" i="7"/>
  <c r="D57" i="7"/>
  <c r="D60" i="7" s="1"/>
  <c r="D62" i="7" s="1"/>
  <c r="E57" i="7"/>
  <c r="F57" i="7"/>
  <c r="G57" i="7"/>
  <c r="H57" i="7"/>
  <c r="I57" i="7"/>
  <c r="I60" i="7" s="1"/>
  <c r="I62" i="7" s="1"/>
  <c r="J57" i="7"/>
  <c r="J60" i="7" s="1"/>
  <c r="J62" i="7" s="1"/>
  <c r="K57" i="7"/>
  <c r="K60" i="7" s="1"/>
  <c r="K62" i="7" s="1"/>
  <c r="L57" i="7"/>
  <c r="L60" i="7" s="1"/>
  <c r="L62" i="7" s="1"/>
  <c r="C57" i="7"/>
  <c r="C60" i="7" s="1"/>
  <c r="C52" i="7"/>
  <c r="D52" i="7"/>
  <c r="E52" i="7"/>
  <c r="F52" i="7"/>
  <c r="G52" i="7"/>
  <c r="H52" i="7"/>
  <c r="I52" i="7"/>
  <c r="J52" i="7"/>
  <c r="K52" i="7"/>
  <c r="L52" i="7"/>
  <c r="C53" i="7"/>
  <c r="D53" i="7"/>
  <c r="E53" i="7"/>
  <c r="F53" i="7"/>
  <c r="G53" i="7"/>
  <c r="H53" i="7"/>
  <c r="I53" i="7"/>
  <c r="J53" i="7"/>
  <c r="K53" i="7"/>
  <c r="L53" i="7"/>
  <c r="C54" i="7"/>
  <c r="D54" i="7"/>
  <c r="E54" i="7"/>
  <c r="F54" i="7"/>
  <c r="G54" i="7"/>
  <c r="H54" i="7"/>
  <c r="I54" i="7"/>
  <c r="J54" i="7"/>
  <c r="K54" i="7"/>
  <c r="L54" i="7"/>
  <c r="D51" i="7"/>
  <c r="E51" i="7"/>
  <c r="F51" i="7"/>
  <c r="G51" i="7"/>
  <c r="H51" i="7"/>
  <c r="I51" i="7"/>
  <c r="J51" i="7"/>
  <c r="K51" i="7"/>
  <c r="K31" i="10" s="1"/>
  <c r="L51" i="7"/>
  <c r="C51" i="7"/>
  <c r="D45" i="7"/>
  <c r="E45" i="7"/>
  <c r="F45" i="7"/>
  <c r="G45" i="7"/>
  <c r="H45" i="7"/>
  <c r="I45" i="7"/>
  <c r="J45" i="7"/>
  <c r="K45" i="7"/>
  <c r="L45" i="7"/>
  <c r="D46" i="7"/>
  <c r="E46" i="7"/>
  <c r="E32" i="10" s="1"/>
  <c r="F46" i="7"/>
  <c r="G46" i="7"/>
  <c r="H46" i="7"/>
  <c r="I46" i="7"/>
  <c r="J46" i="7"/>
  <c r="K46" i="7"/>
  <c r="L46" i="7"/>
  <c r="D47" i="7"/>
  <c r="E47" i="7"/>
  <c r="F47" i="7"/>
  <c r="G47" i="7"/>
  <c r="H47" i="7"/>
  <c r="I47" i="7"/>
  <c r="J47" i="7"/>
  <c r="K47" i="7"/>
  <c r="L47" i="7"/>
  <c r="D48" i="7"/>
  <c r="E48" i="7"/>
  <c r="F48" i="7"/>
  <c r="G48" i="7"/>
  <c r="H48" i="7"/>
  <c r="I48" i="7"/>
  <c r="J48" i="7"/>
  <c r="K48" i="7"/>
  <c r="L48" i="7"/>
  <c r="D49" i="7"/>
  <c r="E49" i="7"/>
  <c r="F49" i="7"/>
  <c r="G49" i="7"/>
  <c r="H49" i="7"/>
  <c r="I49" i="7"/>
  <c r="J49" i="7"/>
  <c r="K49" i="7"/>
  <c r="L49" i="7"/>
  <c r="C46" i="7"/>
  <c r="C47" i="7"/>
  <c r="C48" i="7"/>
  <c r="C49" i="7"/>
  <c r="C45" i="7"/>
  <c r="D34" i="7"/>
  <c r="D39" i="7" s="1"/>
  <c r="E34" i="7"/>
  <c r="E39" i="7" s="1"/>
  <c r="E9" i="10" s="1"/>
  <c r="F34" i="7"/>
  <c r="F39" i="7" s="1"/>
  <c r="G34" i="7"/>
  <c r="G39" i="7" s="1"/>
  <c r="H34" i="7"/>
  <c r="H39" i="7" s="1"/>
  <c r="I34" i="7"/>
  <c r="I39" i="7" s="1"/>
  <c r="J34" i="7"/>
  <c r="J39" i="7" s="1"/>
  <c r="K34" i="7"/>
  <c r="K39" i="7" s="1"/>
  <c r="L34" i="7"/>
  <c r="L39" i="7" s="1"/>
  <c r="L9" i="10" s="1"/>
  <c r="C34" i="7"/>
  <c r="C39" i="7" s="1"/>
  <c r="M31" i="7"/>
  <c r="M28" i="7"/>
  <c r="D28" i="7"/>
  <c r="E28" i="7"/>
  <c r="F28" i="7"/>
  <c r="G28" i="7"/>
  <c r="H28" i="7"/>
  <c r="I28" i="7"/>
  <c r="J28" i="7"/>
  <c r="K28" i="7"/>
  <c r="L28" i="7"/>
  <c r="C28" i="7"/>
  <c r="M22" i="7"/>
  <c r="D22" i="7"/>
  <c r="E22" i="7"/>
  <c r="F22" i="7"/>
  <c r="G22" i="7"/>
  <c r="H22" i="7"/>
  <c r="I22" i="7"/>
  <c r="J22" i="7"/>
  <c r="K22" i="7"/>
  <c r="L22" i="7"/>
  <c r="C22" i="7"/>
  <c r="M19" i="7"/>
  <c r="C8" i="7"/>
  <c r="D19" i="7"/>
  <c r="E19" i="7"/>
  <c r="F19" i="7"/>
  <c r="G19" i="7"/>
  <c r="H19" i="7"/>
  <c r="I19" i="7"/>
  <c r="J19" i="7"/>
  <c r="K19" i="7"/>
  <c r="L19" i="7"/>
  <c r="C19" i="7"/>
  <c r="D13" i="7"/>
  <c r="E13" i="7"/>
  <c r="F13" i="7"/>
  <c r="G13" i="7"/>
  <c r="H13" i="7"/>
  <c r="I13" i="7"/>
  <c r="J13" i="7"/>
  <c r="K13" i="7"/>
  <c r="L13" i="7"/>
  <c r="M13" i="7"/>
  <c r="C13" i="7"/>
  <c r="M8" i="7"/>
  <c r="D8" i="7"/>
  <c r="E8" i="7"/>
  <c r="F8" i="7"/>
  <c r="G8" i="7"/>
  <c r="H8" i="7"/>
  <c r="I8" i="7"/>
  <c r="J8" i="7"/>
  <c r="K8" i="7"/>
  <c r="L8" i="7"/>
  <c r="M5" i="7"/>
  <c r="C6" i="7"/>
  <c r="D5" i="7"/>
  <c r="D31" i="10" s="1"/>
  <c r="E5" i="7"/>
  <c r="E31" i="10" s="1"/>
  <c r="F5" i="7"/>
  <c r="F28" i="10" s="1"/>
  <c r="F35" i="10" s="1"/>
  <c r="G5" i="7"/>
  <c r="G11" i="7" s="1"/>
  <c r="G11" i="10" s="1"/>
  <c r="H5" i="7"/>
  <c r="H28" i="10" s="1"/>
  <c r="H35" i="10" s="1"/>
  <c r="I5" i="7"/>
  <c r="I29" i="10" s="1"/>
  <c r="I36" i="10" s="1"/>
  <c r="J5" i="7"/>
  <c r="J29" i="10" s="1"/>
  <c r="J36" i="10" s="1"/>
  <c r="K5" i="7"/>
  <c r="K29" i="10" s="1"/>
  <c r="K36" i="10" s="1"/>
  <c r="L5" i="7"/>
  <c r="L30" i="10" s="1"/>
  <c r="L37" i="10" s="1"/>
  <c r="C5" i="7"/>
  <c r="C31" i="10" s="1"/>
  <c r="C3" i="7"/>
  <c r="D3" i="7"/>
  <c r="E3" i="7"/>
  <c r="F3" i="7"/>
  <c r="G3" i="7"/>
  <c r="H3" i="7"/>
  <c r="I3" i="7"/>
  <c r="J3" i="7"/>
  <c r="K3" i="7"/>
  <c r="L3" i="7"/>
  <c r="B2" i="7"/>
  <c r="B6" i="6"/>
  <c r="E1" i="6"/>
  <c r="H6" i="16" l="1"/>
  <c r="H8" i="16" s="1"/>
  <c r="H12" i="16" s="1"/>
  <c r="I4" i="16"/>
  <c r="F9" i="10"/>
  <c r="D76" i="7"/>
  <c r="C76" i="7"/>
  <c r="L76" i="7"/>
  <c r="I104" i="7"/>
  <c r="G76" i="7"/>
  <c r="H104" i="7"/>
  <c r="C104" i="7"/>
  <c r="J76" i="7"/>
  <c r="J40" i="10" s="1"/>
  <c r="F104" i="7"/>
  <c r="E104" i="7"/>
  <c r="L104" i="7"/>
  <c r="F76" i="7"/>
  <c r="F42" i="10" s="1"/>
  <c r="K104" i="7"/>
  <c r="E76" i="7"/>
  <c r="H9" i="10"/>
  <c r="H38" i="10"/>
  <c r="D32" i="10"/>
  <c r="J9" i="10"/>
  <c r="C30" i="10"/>
  <c r="C37" i="10" s="1"/>
  <c r="L31" i="10"/>
  <c r="I30" i="10"/>
  <c r="I37" i="10" s="1"/>
  <c r="F29" i="10"/>
  <c r="F36" i="10" s="1"/>
  <c r="F57" i="14"/>
  <c r="I52" i="14"/>
  <c r="I51" i="14"/>
  <c r="C32" i="10"/>
  <c r="J31" i="10"/>
  <c r="G30" i="10"/>
  <c r="G37" i="10" s="1"/>
  <c r="D29" i="10"/>
  <c r="D36" i="10" s="1"/>
  <c r="G9" i="10"/>
  <c r="L32" i="10"/>
  <c r="I31" i="10"/>
  <c r="F30" i="10"/>
  <c r="F37" i="10" s="1"/>
  <c r="F38" i="10" s="1"/>
  <c r="L28" i="10"/>
  <c r="L35" i="10" s="1"/>
  <c r="K32" i="10"/>
  <c r="H31" i="10"/>
  <c r="E30" i="10"/>
  <c r="E37" i="10" s="1"/>
  <c r="E38" i="10" s="1"/>
  <c r="K28" i="10"/>
  <c r="K35" i="10" s="1"/>
  <c r="K38" i="10" s="1"/>
  <c r="D28" i="10"/>
  <c r="D35" i="10" s="1"/>
  <c r="J32" i="10"/>
  <c r="G31" i="10"/>
  <c r="D30" i="10"/>
  <c r="D37" i="10" s="1"/>
  <c r="J28" i="10"/>
  <c r="J35" i="10" s="1"/>
  <c r="I32" i="10"/>
  <c r="F31" i="10"/>
  <c r="L29" i="10"/>
  <c r="L36" i="10" s="1"/>
  <c r="L38" i="10" s="1"/>
  <c r="I28" i="10"/>
  <c r="I35" i="10" s="1"/>
  <c r="I38" i="10" s="1"/>
  <c r="H32" i="10"/>
  <c r="G32" i="10"/>
  <c r="G28" i="10"/>
  <c r="G35" i="10" s="1"/>
  <c r="F32" i="10"/>
  <c r="D9" i="10"/>
  <c r="N9" i="10" s="1"/>
  <c r="K9" i="10"/>
  <c r="I9" i="10"/>
  <c r="H40" i="10"/>
  <c r="H42" i="10"/>
  <c r="E40" i="10"/>
  <c r="E42" i="10"/>
  <c r="D40" i="10"/>
  <c r="D42" i="10"/>
  <c r="L40" i="10"/>
  <c r="L42" i="10"/>
  <c r="K40" i="10"/>
  <c r="K42" i="10"/>
  <c r="I40" i="10"/>
  <c r="I42" i="10"/>
  <c r="G42" i="10"/>
  <c r="G40" i="10"/>
  <c r="C40" i="10"/>
  <c r="C42" i="10"/>
  <c r="H64" i="7"/>
  <c r="H41" i="10"/>
  <c r="F64" i="7"/>
  <c r="K64" i="7"/>
  <c r="K41" i="10"/>
  <c r="I64" i="7"/>
  <c r="I41" i="10"/>
  <c r="G64" i="7"/>
  <c r="G41" i="10"/>
  <c r="E64" i="7"/>
  <c r="E41" i="10"/>
  <c r="L64" i="7"/>
  <c r="L41" i="10"/>
  <c r="J64" i="7"/>
  <c r="J41" i="10"/>
  <c r="D64" i="7"/>
  <c r="D41" i="10"/>
  <c r="O9" i="10"/>
  <c r="H5" i="10"/>
  <c r="J38" i="10"/>
  <c r="C38" i="10"/>
  <c r="L11" i="7"/>
  <c r="J11" i="7"/>
  <c r="H11" i="7"/>
  <c r="G9" i="7"/>
  <c r="L6" i="7"/>
  <c r="L4" i="10" s="1"/>
  <c r="I9" i="7"/>
  <c r="I20" i="7"/>
  <c r="K20" i="7"/>
  <c r="K14" i="7"/>
  <c r="K18" i="10" s="1"/>
  <c r="F9" i="7"/>
  <c r="F14" i="7"/>
  <c r="F18" i="10" s="1"/>
  <c r="K9" i="7"/>
  <c r="I23" i="7"/>
  <c r="I19" i="10" s="1"/>
  <c r="E9" i="7"/>
  <c r="D9" i="7"/>
  <c r="G16" i="7"/>
  <c r="H23" i="7"/>
  <c r="H19" i="10" s="1"/>
  <c r="F20" i="7"/>
  <c r="G23" i="7"/>
  <c r="G19" i="10" s="1"/>
  <c r="E20" i="7"/>
  <c r="F23" i="7"/>
  <c r="F19" i="10" s="1"/>
  <c r="D20" i="7"/>
  <c r="E23" i="7"/>
  <c r="E19" i="10" s="1"/>
  <c r="E14" i="7"/>
  <c r="E18" i="10" s="1"/>
  <c r="D23" i="7"/>
  <c r="D19" i="10" s="1"/>
  <c r="K6" i="7"/>
  <c r="K4" i="10" s="1"/>
  <c r="D14" i="7"/>
  <c r="D18" i="10" s="1"/>
  <c r="M20" i="7"/>
  <c r="D11" i="7"/>
  <c r="G20" i="7"/>
  <c r="J23" i="7"/>
  <c r="J19" i="10" s="1"/>
  <c r="M11" i="7"/>
  <c r="M16" i="7" s="1"/>
  <c r="M17" i="7" s="1"/>
  <c r="C20" i="7"/>
  <c r="I11" i="7"/>
  <c r="J9" i="7"/>
  <c r="L20" i="7"/>
  <c r="M23" i="7"/>
  <c r="M32" i="7"/>
  <c r="M14" i="7"/>
  <c r="C23" i="7"/>
  <c r="C19" i="10" s="1"/>
  <c r="H9" i="7"/>
  <c r="J20" i="7"/>
  <c r="F6" i="7"/>
  <c r="F4" i="10" s="1"/>
  <c r="I14" i="7"/>
  <c r="I18" i="10" s="1"/>
  <c r="L23" i="7"/>
  <c r="L19" i="10" s="1"/>
  <c r="E6" i="7"/>
  <c r="E4" i="10" s="1"/>
  <c r="H20" i="7"/>
  <c r="K23" i="7"/>
  <c r="K19" i="10" s="1"/>
  <c r="G14" i="7"/>
  <c r="G18" i="10" s="1"/>
  <c r="E11" i="7"/>
  <c r="M6" i="7"/>
  <c r="D6" i="7"/>
  <c r="D4" i="10" s="1"/>
  <c r="K11" i="7"/>
  <c r="J6" i="7"/>
  <c r="J4" i="10" s="1"/>
  <c r="C14" i="7"/>
  <c r="C18" i="10" s="1"/>
  <c r="F11" i="7"/>
  <c r="M9" i="7"/>
  <c r="L14" i="7"/>
  <c r="L18" i="10" s="1"/>
  <c r="G6" i="7"/>
  <c r="G4" i="10" s="1"/>
  <c r="L9" i="7"/>
  <c r="H14" i="7"/>
  <c r="H18" i="10" s="1"/>
  <c r="I6" i="7"/>
  <c r="I4" i="10" s="1"/>
  <c r="H6" i="7"/>
  <c r="H4" i="10" s="1"/>
  <c r="J14" i="7"/>
  <c r="J18" i="10" s="1"/>
  <c r="C11" i="7"/>
  <c r="C9" i="7"/>
  <c r="I6" i="16" l="1"/>
  <c r="I8" i="16" s="1"/>
  <c r="I12" i="16" s="1"/>
  <c r="J4" i="16"/>
  <c r="N37" i="10"/>
  <c r="O30" i="10"/>
  <c r="N30" i="10"/>
  <c r="G38" i="10"/>
  <c r="F41" i="10"/>
  <c r="F40" i="10"/>
  <c r="J42" i="10"/>
  <c r="O37" i="10"/>
  <c r="D38" i="10"/>
  <c r="O38" i="10" s="1"/>
  <c r="N28" i="10"/>
  <c r="N32" i="10"/>
  <c r="O31" i="10"/>
  <c r="N36" i="10"/>
  <c r="O35" i="10"/>
  <c r="N31" i="10"/>
  <c r="O32" i="10"/>
  <c r="O19" i="10"/>
  <c r="O36" i="10"/>
  <c r="N35" i="10"/>
  <c r="N29" i="10"/>
  <c r="O28" i="10"/>
  <c r="O29" i="10"/>
  <c r="O40" i="10"/>
  <c r="N40" i="10"/>
  <c r="N42" i="10"/>
  <c r="O42" i="10"/>
  <c r="I16" i="7"/>
  <c r="I17" i="7" s="1"/>
  <c r="I13" i="10" s="1"/>
  <c r="I11" i="10"/>
  <c r="J5" i="10"/>
  <c r="F16" i="7"/>
  <c r="F17" i="7" s="1"/>
  <c r="F13" i="10" s="1"/>
  <c r="F11" i="10"/>
  <c r="G5" i="10"/>
  <c r="N18" i="10"/>
  <c r="K16" i="7"/>
  <c r="L5" i="10"/>
  <c r="K11" i="10"/>
  <c r="D16" i="7"/>
  <c r="E5" i="10"/>
  <c r="D11" i="10"/>
  <c r="O4" i="10"/>
  <c r="N19" i="10"/>
  <c r="G17" i="7"/>
  <c r="G13" i="10" s="1"/>
  <c r="G22" i="10"/>
  <c r="G14" i="10"/>
  <c r="G20" i="10" s="1"/>
  <c r="G26" i="10"/>
  <c r="C16" i="7"/>
  <c r="C25" i="7" s="1"/>
  <c r="E35" i="14" s="1"/>
  <c r="D5" i="10"/>
  <c r="C11" i="10"/>
  <c r="E16" i="7"/>
  <c r="E11" i="10"/>
  <c r="F5" i="10"/>
  <c r="H16" i="7"/>
  <c r="H11" i="10"/>
  <c r="I5" i="10"/>
  <c r="K5" i="10"/>
  <c r="J11" i="10"/>
  <c r="O18" i="10"/>
  <c r="L16" i="7"/>
  <c r="L11" i="10"/>
  <c r="J16" i="7"/>
  <c r="N4" i="10"/>
  <c r="N38" i="10"/>
  <c r="G25" i="7"/>
  <c r="I35" i="14" s="1"/>
  <c r="H17" i="7"/>
  <c r="H13" i="10" s="1"/>
  <c r="M25" i="7"/>
  <c r="M26" i="7" s="1"/>
  <c r="I25" i="7"/>
  <c r="J6" i="16" l="1"/>
  <c r="J8" i="16" s="1"/>
  <c r="J12" i="16" s="1"/>
  <c r="K4" i="16"/>
  <c r="K6" i="16" s="1"/>
  <c r="K8" i="16" s="1"/>
  <c r="F25" i="7"/>
  <c r="H35" i="14" s="1"/>
  <c r="H44" i="14" s="1"/>
  <c r="H46" i="14" s="1"/>
  <c r="G6" i="10"/>
  <c r="H37" i="14"/>
  <c r="H56" i="14" s="1"/>
  <c r="H59" i="14" s="1"/>
  <c r="I44" i="14"/>
  <c r="I46" i="14" s="1"/>
  <c r="I37" i="14"/>
  <c r="I56" i="14" s="1"/>
  <c r="I59" i="14" s="1"/>
  <c r="E44" i="14"/>
  <c r="E46" i="14" s="1"/>
  <c r="E37" i="14"/>
  <c r="O11" i="10"/>
  <c r="N11" i="10"/>
  <c r="D22" i="10"/>
  <c r="D14" i="10"/>
  <c r="D20" i="10" s="1"/>
  <c r="D26" i="10"/>
  <c r="D6" i="10"/>
  <c r="K26" i="10"/>
  <c r="K6" i="10"/>
  <c r="K22" i="10"/>
  <c r="K14" i="10"/>
  <c r="K20" i="10" s="1"/>
  <c r="E6" i="10"/>
  <c r="E22" i="10"/>
  <c r="E14" i="10"/>
  <c r="E20" i="10" s="1"/>
  <c r="E26" i="10"/>
  <c r="C17" i="7"/>
  <c r="C13" i="10" s="1"/>
  <c r="L17" i="7"/>
  <c r="L13" i="10" s="1"/>
  <c r="L26" i="10"/>
  <c r="L22" i="10"/>
  <c r="L6" i="10"/>
  <c r="L14" i="10"/>
  <c r="L20" i="10" s="1"/>
  <c r="L25" i="7"/>
  <c r="G29" i="7"/>
  <c r="G7" i="10"/>
  <c r="J17" i="7"/>
  <c r="J13" i="10" s="1"/>
  <c r="J26" i="10"/>
  <c r="J22" i="10"/>
  <c r="J6" i="10"/>
  <c r="J14" i="10"/>
  <c r="J20" i="10" s="1"/>
  <c r="O5" i="10"/>
  <c r="N5" i="10"/>
  <c r="J25" i="7"/>
  <c r="F6" i="10"/>
  <c r="F22" i="10"/>
  <c r="F14" i="10"/>
  <c r="F20" i="10" s="1"/>
  <c r="F26" i="10"/>
  <c r="D17" i="7"/>
  <c r="D13" i="10" s="1"/>
  <c r="J4" i="11" a="1"/>
  <c r="C26" i="10"/>
  <c r="C14" i="10"/>
  <c r="C22" i="10"/>
  <c r="D25" i="7"/>
  <c r="D31" i="7" s="1"/>
  <c r="E25" i="7"/>
  <c r="E17" i="7"/>
  <c r="E13" i="10" s="1"/>
  <c r="H25" i="7"/>
  <c r="H6" i="10"/>
  <c r="H22" i="10"/>
  <c r="H14" i="10"/>
  <c r="H20" i="10" s="1"/>
  <c r="H26" i="10"/>
  <c r="K17" i="7"/>
  <c r="K13" i="10" s="1"/>
  <c r="K25" i="7"/>
  <c r="K26" i="7" s="1"/>
  <c r="K15" i="10" s="1"/>
  <c r="I26" i="10"/>
  <c r="I14" i="10"/>
  <c r="I20" i="10" s="1"/>
  <c r="I22" i="10"/>
  <c r="I6" i="10"/>
  <c r="G26" i="7"/>
  <c r="G15" i="10" s="1"/>
  <c r="J31" i="7"/>
  <c r="J26" i="7"/>
  <c r="J15" i="10" s="1"/>
  <c r="G31" i="7"/>
  <c r="M29" i="7"/>
  <c r="F26" i="7"/>
  <c r="F15" i="10" s="1"/>
  <c r="F31" i="7"/>
  <c r="F29" i="7"/>
  <c r="I26" i="7"/>
  <c r="I15" i="10" s="1"/>
  <c r="I31" i="7"/>
  <c r="I29" i="7"/>
  <c r="C26" i="7"/>
  <c r="C15" i="10" s="1"/>
  <c r="C31" i="7"/>
  <c r="C24" i="10" s="1"/>
  <c r="C29" i="7"/>
  <c r="E20" i="16" l="1"/>
  <c r="E24" i="16" s="1"/>
  <c r="E30" i="16" s="1"/>
  <c r="K12" i="16"/>
  <c r="E29" i="16" s="1"/>
  <c r="E31" i="16" s="1"/>
  <c r="E35" i="16" s="1"/>
  <c r="E39" i="16" s="1"/>
  <c r="E7" i="10"/>
  <c r="G35" i="14"/>
  <c r="E26" i="7"/>
  <c r="E15" i="10" s="1"/>
  <c r="E31" i="7"/>
  <c r="F8" i="10" s="1"/>
  <c r="D26" i="7"/>
  <c r="D15" i="10" s="1"/>
  <c r="D7" i="10"/>
  <c r="F35" i="14"/>
  <c r="D29" i="7"/>
  <c r="E29" i="7"/>
  <c r="K7" i="10"/>
  <c r="K29" i="7"/>
  <c r="G36" i="7"/>
  <c r="G40" i="7" s="1"/>
  <c r="G42" i="7" s="1"/>
  <c r="G23" i="10" s="1"/>
  <c r="G8" i="10"/>
  <c r="G24" i="10"/>
  <c r="H29" i="7"/>
  <c r="H7" i="10"/>
  <c r="H31" i="7"/>
  <c r="H26" i="7"/>
  <c r="H15" i="10" s="1"/>
  <c r="L29" i="7"/>
  <c r="L7" i="10"/>
  <c r="L26" i="7"/>
  <c r="L15" i="10" s="1"/>
  <c r="L31" i="7"/>
  <c r="J24" i="10"/>
  <c r="J8" i="10"/>
  <c r="J29" i="7"/>
  <c r="J7" i="10"/>
  <c r="D24" i="10"/>
  <c r="D8" i="10"/>
  <c r="E24" i="10"/>
  <c r="E8" i="10"/>
  <c r="I24" i="10"/>
  <c r="O22" i="10"/>
  <c r="N22" i="10"/>
  <c r="O6" i="10"/>
  <c r="N6" i="10"/>
  <c r="F24" i="10"/>
  <c r="O14" i="10"/>
  <c r="N14" i="10"/>
  <c r="C20" i="10"/>
  <c r="O26" i="10"/>
  <c r="N26" i="10"/>
  <c r="O13" i="10"/>
  <c r="N13" i="10"/>
  <c r="J4" i="11"/>
  <c r="K5" i="11" s="1"/>
  <c r="K13" i="11"/>
  <c r="K6" i="11"/>
  <c r="K7" i="11"/>
  <c r="K8" i="11"/>
  <c r="K9" i="11"/>
  <c r="K10" i="11"/>
  <c r="K11" i="11"/>
  <c r="K12" i="11"/>
  <c r="F7" i="10"/>
  <c r="J36" i="7"/>
  <c r="J32" i="7"/>
  <c r="J16" i="10" s="1"/>
  <c r="K31" i="7"/>
  <c r="I7" i="10"/>
  <c r="G32" i="7"/>
  <c r="G16" i="10" s="1"/>
  <c r="E32" i="7"/>
  <c r="E16" i="10" s="1"/>
  <c r="E36" i="7"/>
  <c r="D32" i="7"/>
  <c r="D16" i="10" s="1"/>
  <c r="D36" i="7"/>
  <c r="I36" i="7"/>
  <c r="I32" i="7"/>
  <c r="I16" i="10" s="1"/>
  <c r="F36" i="7"/>
  <c r="F32" i="7"/>
  <c r="F16" i="10" s="1"/>
  <c r="C32" i="7"/>
  <c r="C16" i="10" s="1"/>
  <c r="C36" i="7"/>
  <c r="G37" i="7" l="1"/>
  <c r="F44" i="14"/>
  <c r="F46" i="14" s="1"/>
  <c r="F37" i="14"/>
  <c r="F56" i="14" s="1"/>
  <c r="F59" i="14" s="1"/>
  <c r="O7" i="10"/>
  <c r="O15" i="10"/>
  <c r="G44" i="14"/>
  <c r="G46" i="14" s="1"/>
  <c r="G37" i="14"/>
  <c r="G56" i="14" s="1"/>
  <c r="G59" i="14" s="1"/>
  <c r="J37" i="7"/>
  <c r="N7" i="10"/>
  <c r="G25" i="10"/>
  <c r="H24" i="10"/>
  <c r="H8" i="10"/>
  <c r="H36" i="7"/>
  <c r="H32" i="7"/>
  <c r="H16" i="10" s="1"/>
  <c r="N15" i="10"/>
  <c r="K24" i="10"/>
  <c r="K8" i="10"/>
  <c r="J18" i="11"/>
  <c r="J17" i="11"/>
  <c r="J15" i="11"/>
  <c r="J16" i="11"/>
  <c r="K16" i="11" s="1"/>
  <c r="J14" i="11"/>
  <c r="K14" i="11" s="1"/>
  <c r="J40" i="7"/>
  <c r="J42" i="7" s="1"/>
  <c r="J23" i="10" s="1"/>
  <c r="J25" i="10" s="1"/>
  <c r="I8" i="10"/>
  <c r="K36" i="7"/>
  <c r="K37" i="7" s="1"/>
  <c r="L8" i="10"/>
  <c r="L24" i="10"/>
  <c r="L32" i="7"/>
  <c r="L16" i="10" s="1"/>
  <c r="L36" i="7"/>
  <c r="L40" i="7" s="1"/>
  <c r="L42" i="7" s="1"/>
  <c r="L23" i="10" s="1"/>
  <c r="K32" i="7"/>
  <c r="K16" i="10" s="1"/>
  <c r="O16" i="10" s="1"/>
  <c r="O20" i="10"/>
  <c r="N20" i="10"/>
  <c r="F37" i="7"/>
  <c r="F40" i="7"/>
  <c r="F42" i="7" s="1"/>
  <c r="F23" i="10" s="1"/>
  <c r="F25" i="10" s="1"/>
  <c r="C40" i="7"/>
  <c r="C42" i="7" s="1"/>
  <c r="C23" i="10" s="1"/>
  <c r="I37" i="7"/>
  <c r="I42" i="7"/>
  <c r="I23" i="10" s="1"/>
  <c r="I25" i="10" s="1"/>
  <c r="I40" i="7"/>
  <c r="D42" i="7"/>
  <c r="D23" i="10" s="1"/>
  <c r="D25" i="10" s="1"/>
  <c r="D37" i="7"/>
  <c r="D40" i="7"/>
  <c r="E37" i="7"/>
  <c r="E40" i="7"/>
  <c r="E42" i="7" s="1"/>
  <c r="E23" i="10" s="1"/>
  <c r="E25" i="10" s="1"/>
  <c r="C62" i="7"/>
  <c r="K18" i="11" l="1"/>
  <c r="K17" i="11"/>
  <c r="N24" i="10"/>
  <c r="I62" i="14"/>
  <c r="I61" i="14"/>
  <c r="L37" i="7"/>
  <c r="O8" i="10"/>
  <c r="K40" i="7"/>
  <c r="K42" i="7" s="1"/>
  <c r="K23" i="10" s="1"/>
  <c r="K25" i="10" s="1"/>
  <c r="C64" i="7"/>
  <c r="C41" i="10"/>
  <c r="O24" i="10"/>
  <c r="C25" i="10"/>
  <c r="N16" i="10"/>
  <c r="H37" i="7"/>
  <c r="H40" i="7"/>
  <c r="H42" i="7" s="1"/>
  <c r="H23" i="10" s="1"/>
  <c r="H25" i="10" s="1"/>
  <c r="N8" i="10"/>
  <c r="L25" i="10"/>
  <c r="K15" i="11"/>
  <c r="O25" i="10" l="1"/>
  <c r="O41" i="10"/>
  <c r="N41" i="10"/>
  <c r="N23" i="10"/>
  <c r="O23" i="10"/>
  <c r="N25" i="10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<sst xmlns="http://schemas.openxmlformats.org/spreadsheetml/2006/main" count="360" uniqueCount="240">
  <si>
    <t>COMPANY NAME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</si>
  <si>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</si>
  <si>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</si>
  <si>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</si>
  <si>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</si>
  <si>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</si>
  <si>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</si>
  <si>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</si>
  <si>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</si>
  <si>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</si>
  <si>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Sales Growth</t>
  </si>
  <si>
    <t>Equity Share Capital</t>
  </si>
  <si>
    <t>Reserves</t>
  </si>
  <si>
    <t>Total</t>
  </si>
  <si>
    <t>Net Block</t>
  </si>
  <si>
    <t>Capital Work in Progress</t>
  </si>
  <si>
    <t>Investments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</si>
  <si>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</si>
  <si>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</si>
  <si>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</si>
  <si>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</si>
  <si>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</si>
  <si>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</si>
  <si>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</si>
  <si>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</si>
  <si>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</si>
  <si>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</si>
  <si>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</si>
  <si>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</si>
  <si>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</si>
  <si>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Inventory</t>
  </si>
  <si>
    <t>LATEST VERSION</t>
  </si>
  <si>
    <t>CURRENT VERSION</t>
  </si>
  <si>
    <t>ASIAN PAINTS LTD</t>
  </si>
  <si>
    <t>META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</si>
  <si>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</si>
  <si>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</si>
  <si>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</si>
  <si>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</si>
  <si>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</si>
  <si>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</si>
  <si>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</si>
  <si>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</si>
  <si>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</si>
  <si>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</si>
  <si>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</si>
  <si>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</si>
  <si>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</si>
  <si>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</si>
  <si>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</si>
  <si>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</si>
  <si>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</si>
  <si>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</si>
  <si>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</si>
  <si>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</si>
  <si>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Years</t>
  </si>
  <si>
    <t>LTM</t>
  </si>
  <si>
    <t>#</t>
  </si>
  <si>
    <t>Income Statement</t>
  </si>
  <si>
    <t>COGS</t>
  </si>
  <si>
    <t>COGS % Sales</t>
  </si>
  <si>
    <t>Gross Profit</t>
  </si>
  <si>
    <t>Selling and general expenses</t>
  </si>
  <si>
    <t>S&amp;G Expenses % Sales</t>
  </si>
  <si>
    <t>EBIDTA</t>
  </si>
  <si>
    <t>Interest % Sales</t>
  </si>
  <si>
    <t>EBIDTA % Margins</t>
  </si>
  <si>
    <t>Depreciation % Sales</t>
  </si>
  <si>
    <t>EPS</t>
  </si>
  <si>
    <t>Earnings before taxes</t>
  </si>
  <si>
    <t>EBT % Sales</t>
  </si>
  <si>
    <t>Effective tax rate</t>
  </si>
  <si>
    <t>Net Profit</t>
  </si>
  <si>
    <t>Net Margins</t>
  </si>
  <si>
    <t>Dividend per share</t>
  </si>
  <si>
    <t>EPS growth %</t>
  </si>
  <si>
    <t>dividend pay ratio</t>
  </si>
  <si>
    <t>Retained earnings</t>
  </si>
  <si>
    <t>Balance Sheet</t>
  </si>
  <si>
    <t>Total Assets</t>
  </si>
  <si>
    <t>Fixed Assets Net Block</t>
  </si>
  <si>
    <t>Total non - current Assets</t>
  </si>
  <si>
    <t>Total current Assets</t>
  </si>
  <si>
    <t>Total liabilities</t>
  </si>
  <si>
    <t>CHECK</t>
  </si>
  <si>
    <t>Cash from Operating Activity -</t>
  </si>
  <si>
    <t>Profit from operations</t>
  </si>
  <si>
    <t>Payables</t>
  </si>
  <si>
    <t>Loans Advances</t>
  </si>
  <si>
    <t>Other WC items</t>
  </si>
  <si>
    <t>Working capital changes</t>
  </si>
  <si>
    <t>Direct taxes</t>
  </si>
  <si>
    <t>Cash from Investing Activity -</t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</si>
  <si>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</si>
  <si>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</si>
  <si>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</si>
  <si>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</si>
  <si>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</si>
  <si>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</si>
  <si>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Invest in subsidiaries</t>
  </si>
  <si>
    <t>Loans to subsidiaries</t>
  </si>
  <si>
    <t>Investment in group cos</t>
  </si>
  <si>
    <t>Redemp n Canc of Shares</t>
  </si>
  <si>
    <t>Acquisition of companies</t>
  </si>
  <si>
    <t>Inter corporate deposits</t>
  </si>
  <si>
    <t>Other investing items</t>
  </si>
  <si>
    <t>Cash from Financing Activity -</t>
  </si>
  <si>
    <t>Proceeds from shares</t>
  </si>
  <si>
    <t>Proceeds from borrowings</t>
  </si>
  <si>
    <t>Repayment of borrowings</t>
  </si>
  <si>
    <t>Interest paid fin</t>
  </si>
  <si>
    <t>Dividends paid</t>
  </si>
  <si>
    <t>Financial liabilities</t>
  </si>
  <si>
    <t>Other financing items</t>
  </si>
  <si>
    <t>Cashflow Statement</t>
  </si>
  <si>
    <t>Operating activities</t>
  </si>
  <si>
    <t>Cash from operating activities</t>
  </si>
  <si>
    <t>Investing Activities</t>
  </si>
  <si>
    <t>Cash from investing Activities</t>
  </si>
  <si>
    <t>Financing Activities</t>
  </si>
  <si>
    <t>Cash from financing Activities</t>
  </si>
  <si>
    <t>Net cashflow</t>
  </si>
  <si>
    <t>SalesGrowth</t>
  </si>
  <si>
    <t>GrossMargin</t>
  </si>
  <si>
    <t>EBITDA Growth</t>
  </si>
  <si>
    <t>EBIT Growth</t>
  </si>
  <si>
    <t>Net Profit Growth</t>
  </si>
  <si>
    <t>Dividend Growth</t>
  </si>
  <si>
    <t>Gross Margin</t>
  </si>
  <si>
    <t>Operating Margin</t>
  </si>
  <si>
    <t>EBITDA Margin</t>
  </si>
  <si>
    <t>EBIT Margin</t>
  </si>
  <si>
    <t>EBT Margin</t>
  </si>
  <si>
    <t>Net Profit Margin</t>
  </si>
  <si>
    <t>SalesExpenses%Sales</t>
  </si>
  <si>
    <t>Depreciation%Sales</t>
  </si>
  <si>
    <t>OperatingIncome%Sales</t>
  </si>
  <si>
    <t>Return on Capital Employed</t>
  </si>
  <si>
    <t>Retained Earnings%</t>
  </si>
  <si>
    <t>Return on Equity%</t>
  </si>
  <si>
    <t>Self Sustained Growth Rate</t>
  </si>
  <si>
    <t>Interest Coverage Ratio</t>
  </si>
  <si>
    <t>Debtor Turnover Ratio</t>
  </si>
  <si>
    <t>Creditor Turnover Ratio</t>
  </si>
  <si>
    <t>Inventory Turnover</t>
  </si>
  <si>
    <t>Fixed Asset Turnover</t>
  </si>
  <si>
    <t>Capital Turnover Ratio</t>
  </si>
  <si>
    <t>Debtor Days</t>
  </si>
  <si>
    <t>Payable Days</t>
  </si>
  <si>
    <t>Inventory Days</t>
  </si>
  <si>
    <t>CFO/Sales</t>
  </si>
  <si>
    <t>CFO/Total Assets</t>
  </si>
  <si>
    <t>CFO/Total Debt</t>
  </si>
  <si>
    <t>Cash Conversion Cycle (in days)</t>
  </si>
  <si>
    <t>Trend</t>
  </si>
  <si>
    <t>Mean</t>
  </si>
  <si>
    <t>Median</t>
  </si>
  <si>
    <t>Year Weight</t>
  </si>
  <si>
    <t>Year</t>
  </si>
  <si>
    <t>Sales growth</t>
  </si>
  <si>
    <t>EBIDTA growth</t>
  </si>
  <si>
    <t>Particulars</t>
  </si>
  <si>
    <t>Total Liabilities</t>
  </si>
  <si>
    <t>Other assets</t>
  </si>
  <si>
    <t>Equity Capital</t>
  </si>
  <si>
    <t>Borrowings -</t>
  </si>
  <si>
    <t>Long term Borrowings</t>
  </si>
  <si>
    <t>Short term Borrowings</t>
  </si>
  <si>
    <t>Lease Liabilities</t>
  </si>
  <si>
    <t>Other Borrowings</t>
  </si>
  <si>
    <t>Other Liabilities -</t>
  </si>
  <si>
    <t>Non controlling int</t>
  </si>
  <si>
    <t>Trade Payables</t>
  </si>
  <si>
    <t>Advance from Customers</t>
  </si>
  <si>
    <t>Other liability items</t>
  </si>
  <si>
    <t>Fixed Assets -</t>
  </si>
  <si>
    <t>Land</t>
  </si>
  <si>
    <t>Building</t>
  </si>
  <si>
    <t>Plant Machinery</t>
  </si>
  <si>
    <t>Equipments</t>
  </si>
  <si>
    <t>Furniture n fittings</t>
  </si>
  <si>
    <t>Vehicles</t>
  </si>
  <si>
    <t>Intangible Assets</t>
  </si>
  <si>
    <t>Other fixed assets</t>
  </si>
  <si>
    <t>Gross Block</t>
  </si>
  <si>
    <t>Accumulated Depreciation</t>
  </si>
  <si>
    <t>CWIP</t>
  </si>
  <si>
    <t>Other Assets -</t>
  </si>
  <si>
    <t>Inventories</t>
  </si>
  <si>
    <t>Trade receivables -</t>
  </si>
  <si>
    <t>Prov for Doubtful</t>
  </si>
  <si>
    <t>Cash Equivalents</t>
  </si>
  <si>
    <t>Loans n Advances</t>
  </si>
  <si>
    <t>Other asset items</t>
  </si>
  <si>
    <t>Calculation of ROIC</t>
  </si>
  <si>
    <t>Current Assets</t>
  </si>
  <si>
    <t>Total Current Assets</t>
  </si>
  <si>
    <t>Current Liabilities</t>
  </si>
  <si>
    <t>Total Current Liabilities</t>
  </si>
  <si>
    <t>Net Working Capital</t>
  </si>
  <si>
    <t>Non-current Assets</t>
  </si>
  <si>
    <t>Accumulated Depreceation</t>
  </si>
  <si>
    <t>Net non-current assets</t>
  </si>
  <si>
    <t>Invested Capital</t>
  </si>
  <si>
    <t>EBIT</t>
  </si>
  <si>
    <t>ROIC</t>
  </si>
  <si>
    <t>Calculation of Reinvestment Rate</t>
  </si>
  <si>
    <t>Net Capex</t>
  </si>
  <si>
    <t>Change in working capital</t>
  </si>
  <si>
    <t>Marginal tax rate</t>
  </si>
  <si>
    <t xml:space="preserve">Reinvestment </t>
  </si>
  <si>
    <t>EBIT(1-T)</t>
  </si>
  <si>
    <t>Reinvestment Rate</t>
  </si>
  <si>
    <t>4 - year average</t>
  </si>
  <si>
    <t>4 - year median</t>
  </si>
  <si>
    <t>Calculation of Growth Rate</t>
  </si>
  <si>
    <t>Intrinsic growth Rate</t>
  </si>
  <si>
    <t>Calculation of PV of FCFF</t>
  </si>
  <si>
    <t>Tax Rate</t>
  </si>
  <si>
    <t>EBIT (1-T)</t>
  </si>
  <si>
    <t>Less : Reinvestment Rate</t>
  </si>
  <si>
    <t>Free Cashflow to firm</t>
  </si>
  <si>
    <t>Mid year convention</t>
  </si>
  <si>
    <t>Discounting factor</t>
  </si>
  <si>
    <t>PV of FCFF</t>
  </si>
  <si>
    <t>WACC</t>
  </si>
  <si>
    <t>Expected growth (Sector growth)</t>
  </si>
  <si>
    <t>Terminal growth (GDP growth rate)</t>
  </si>
  <si>
    <t>Calculation of Terminal Value</t>
  </si>
  <si>
    <t>FCFF (n+1)</t>
  </si>
  <si>
    <t>Terminal Growth</t>
  </si>
  <si>
    <t>Terminal Value</t>
  </si>
  <si>
    <t>PV of terminal value</t>
  </si>
  <si>
    <t>Value of operating assets</t>
  </si>
  <si>
    <t>Add: Cash</t>
  </si>
  <si>
    <t>Less : Debt</t>
  </si>
  <si>
    <t>Calculation of Equity value per share</t>
  </si>
  <si>
    <t>No. of shares</t>
  </si>
  <si>
    <t>Equity value per share</t>
  </si>
  <si>
    <t>Value of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</si>
</sst>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3" formatCode="_(* #,##0.00_);_(* \(#,##0.00\);_(* &quot;-&quot;??_);_(@_)"/>
    <numFmt numFmtId="164" formatCode="_ * #,##0.00_ ;_ * \-#,##0.00_ ;_ * &quot;-&quot;??_ ;_ @_ "/>
    <numFmt numFmtId="165" formatCode="[$-409]mmm\-yy;@"/>
    <numFmt numFmtId="166" formatCode="[$INR]\ #,##0.0_);[Red]\([$INR]\ #,##0.0\)"/>
    <numFmt numFmtId="167" formatCode="[$INR]\ #,##0.00"/>
    <numFmt numFmtId="168" formatCode="[$INR]\ #,##0.00_);[Red]\([$INR]\ #,##0.00\)"/>
    <numFmt numFmtId="169" formatCode="0.00\x"/>
    <numFmt numFmtId="170" formatCode="0.0"/>
    <numFmt numFmtId="171" formatCode="yyyy"/>
    <numFmt numFmtId="172" formatCode="yyyy\ &quot;A&quot;"/>
    <numFmt numFmtId="173" formatCode="yyyy\ &quot;E&quot;"/>
    <numFmt numFmtId="174" formatCode="#,##0.0;\-0;\-"/>
    <numFmt numFmtId="175" formatCode="#,##0.0"/>
    <numFmt numFmtId="176" formatCode="0.0;\-0;\-0"/>
    <numFmt numFmtId="177" formatCode="0.0;\-0;\-0;"/>
    <numFmt numFmtId="179" formatCode="mmm\-yy&quot; A&quot;"/>
    <numFmt numFmtId="180" formatCode="mmm\-yy\ &quot; F&quot;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i/>
      <sz val="11"/>
      <color theme="0" tint="-0.499984740745262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rgb="FF002060"/>
      <name val="Calibri"/>
      <family val="2"/>
      <scheme val="minor"/>
    </font>
    <font>
      <sz val="11"/>
      <color rgb="FF0070C0"/>
      <name val="Calibri"/>
      <family val="2"/>
      <scheme val="minor"/>
    </font>
    <font>
      <i/>
      <sz val="11"/>
      <color rgb="FF0070C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14">
    <border>
      <left/>
      <right/>
      <top/>
      <bottom/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dotted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dotted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/>
      <top style="dotted">
        <color auto="1"/>
      </top>
      <bottom style="medium">
        <color auto="1"/>
      </bottom>
      <diagonal/>
    </border>
    <border>
      <left/>
      <right/>
      <top style="medium">
        <color auto="1"/>
      </top>
      <bottom style="dotted">
        <color auto="1"/>
      </bottom>
      <diagonal/>
    </border>
    <border>
      <left/>
      <right/>
      <top style="medium">
        <color auto="1"/>
      </top>
      <bottom style="thick">
        <color auto="1"/>
      </bottom>
      <diagonal/>
    </border>
    <border>
      <left/>
      <right/>
      <top style="medium">
        <color rgb="FF002060"/>
      </top>
      <bottom style="thick">
        <color rgb="FF002060"/>
      </bottom>
      <diagonal/>
    </border>
    <border>
      <left/>
      <right/>
      <top style="thin">
        <color rgb="FF002060"/>
      </top>
      <bottom style="thick">
        <color rgb="FF002060"/>
      </bottom>
      <diagonal/>
    </border>
    <border>
      <left/>
      <right/>
      <top style="thin">
        <color auto="1"/>
      </top>
      <bottom style="thick">
        <color auto="1"/>
      </bottom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9" fontId="3" fillId="0" borderId="0" applyFont="0" applyFill="0" applyBorder="0" applyAlignment="0" applyProtection="0"/>
  </cellStyleXfs>
  <cellXfs count="102">
    <xf numFmtId="0" fontId="0" fillId="0" borderId="0" xfId="0"/>
    <xf numFmtId="164" fontId="1" fillId="0" borderId="0" xfId="1" applyFont="1" applyBorder="1"/>
    <xf numFmtId="0" fontId="1" fillId="0" borderId="0" xfId="0" applyFont="1"/>
    <xf numFmtId="164" fontId="0" fillId="0" borderId="0" xfId="1" applyFont="1" applyBorder="1"/>
    <xf numFmtId="10" fontId="0" fillId="0" borderId="0" xfId="0" applyNumberFormat="1"/>
    <xf numFmtId="164" fontId="3" fillId="0" borderId="0" xfId="1" applyFont="1" applyBorder="1"/>
    <xf numFmtId="165" fontId="2" fillId="3" borderId="0" xfId="0" applyNumberFormat="1" applyFont="1" applyFill="1" applyAlignment="1">
      <alignment horizontal="center"/>
    </xf>
    <xf numFmtId="165" fontId="2" fillId="3" borderId="0" xfId="1" applyNumberFormat="1" applyFont="1" applyFill="1" applyBorder="1"/>
    <xf numFmtId="165" fontId="8" fillId="0" borderId="0" xfId="1" applyNumberFormat="1" applyFont="1" applyFill="1" applyBorder="1"/>
    <xf numFmtId="0" fontId="7" fillId="0" borderId="0" xfId="0" applyFont="1"/>
    <xf numFmtId="0" fontId="0" fillId="0" borderId="0" xfId="0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43" fontId="0" fillId="0" borderId="0" xfId="1" applyNumberFormat="1" applyFont="1" applyBorder="1"/>
    <xf numFmtId="165" fontId="0" fillId="0" borderId="0" xfId="0" applyNumberFormat="1"/>
    <xf numFmtId="0" fontId="5" fillId="4" borderId="0" xfId="0" applyFont="1" applyFill="1"/>
    <xf numFmtId="165" fontId="5" fillId="4" borderId="0" xfId="0" applyNumberFormat="1" applyFont="1" applyFill="1"/>
    <xf numFmtId="0" fontId="5" fillId="4" borderId="0" xfId="0" applyFont="1" applyFill="1" applyAlignment="1">
      <alignment horizontal="right"/>
    </xf>
    <xf numFmtId="0" fontId="10" fillId="0" borderId="0" xfId="0" applyFont="1"/>
    <xf numFmtId="0" fontId="0" fillId="0" borderId="0" xfId="0" applyAlignment="1">
      <alignment horizontal="right" vertical="center"/>
    </xf>
    <xf numFmtId="10" fontId="9" fillId="0" borderId="0" xfId="0" applyNumberFormat="1" applyFont="1"/>
    <xf numFmtId="10" fontId="10" fillId="0" borderId="0" xfId="0" applyNumberFormat="1" applyFont="1"/>
    <xf numFmtId="167" fontId="0" fillId="0" borderId="0" xfId="0" applyNumberFormat="1"/>
    <xf numFmtId="166" fontId="0" fillId="0" borderId="0" xfId="0" applyNumberFormat="1"/>
    <xf numFmtId="168" fontId="0" fillId="0" borderId="0" xfId="0" applyNumberFormat="1"/>
    <xf numFmtId="2" fontId="0" fillId="0" borderId="0" xfId="0" applyNumberFormat="1"/>
    <xf numFmtId="168" fontId="10" fillId="0" borderId="0" xfId="0" applyNumberFormat="1" applyFont="1"/>
    <xf numFmtId="168" fontId="1" fillId="0" borderId="0" xfId="0" applyNumberFormat="1" applyFont="1"/>
    <xf numFmtId="0" fontId="11" fillId="0" borderId="0" xfId="0" applyFont="1"/>
    <xf numFmtId="17" fontId="0" fillId="0" borderId="0" xfId="0" applyNumberFormat="1"/>
    <xf numFmtId="3" fontId="0" fillId="0" borderId="0" xfId="0" applyNumberFormat="1"/>
    <xf numFmtId="0" fontId="0" fillId="5" borderId="0" xfId="0" applyFill="1"/>
    <xf numFmtId="0" fontId="0" fillId="6" borderId="0" xfId="0" applyFill="1"/>
    <xf numFmtId="0" fontId="1" fillId="6" borderId="0" xfId="0" applyFont="1" applyFill="1"/>
    <xf numFmtId="0" fontId="1" fillId="0" borderId="1" xfId="0" applyFont="1" applyBorder="1"/>
    <xf numFmtId="168" fontId="0" fillId="0" borderId="1" xfId="0" applyNumberFormat="1" applyBorder="1"/>
    <xf numFmtId="10" fontId="0" fillId="0" borderId="0" xfId="4" applyNumberFormat="1" applyFont="1"/>
    <xf numFmtId="169" fontId="0" fillId="0" borderId="0" xfId="0" applyNumberFormat="1"/>
    <xf numFmtId="0" fontId="12" fillId="0" borderId="0" xfId="0" applyFont="1"/>
    <xf numFmtId="170" fontId="0" fillId="0" borderId="0" xfId="0" applyNumberFormat="1"/>
    <xf numFmtId="171" fontId="0" fillId="0" borderId="0" xfId="0" applyNumberFormat="1" applyAlignment="1">
      <alignment horizontal="right"/>
    </xf>
    <xf numFmtId="172" fontId="0" fillId="0" borderId="0" xfId="0" applyNumberFormat="1" applyAlignment="1">
      <alignment horizontal="right"/>
    </xf>
    <xf numFmtId="172" fontId="0" fillId="0" borderId="0" xfId="0" applyNumberFormat="1"/>
    <xf numFmtId="0" fontId="0" fillId="7" borderId="0" xfId="0" applyFill="1"/>
    <xf numFmtId="173" fontId="0" fillId="7" borderId="0" xfId="0" applyNumberFormat="1" applyFill="1" applyAlignment="1">
      <alignment horizontal="right"/>
    </xf>
    <xf numFmtId="10" fontId="0" fillId="7" borderId="0" xfId="0" applyNumberFormat="1" applyFill="1"/>
    <xf numFmtId="173" fontId="0" fillId="7" borderId="0" xfId="0" applyNumberFormat="1" applyFill="1"/>
    <xf numFmtId="0" fontId="1" fillId="0" borderId="2" xfId="0" applyFont="1" applyBorder="1"/>
    <xf numFmtId="17" fontId="0" fillId="0" borderId="2" xfId="0" applyNumberFormat="1" applyBorder="1"/>
    <xf numFmtId="10" fontId="1" fillId="0" borderId="0" xfId="4" applyNumberFormat="1" applyFont="1"/>
    <xf numFmtId="10" fontId="3" fillId="0" borderId="0" xfId="4" applyNumberFormat="1" applyFont="1"/>
    <xf numFmtId="17" fontId="1" fillId="0" borderId="0" xfId="0" applyNumberFormat="1" applyFont="1"/>
    <xf numFmtId="174" fontId="0" fillId="0" borderId="1" xfId="0" applyNumberFormat="1" applyBorder="1"/>
    <xf numFmtId="174" fontId="0" fillId="0" borderId="3" xfId="0" applyNumberFormat="1" applyBorder="1"/>
    <xf numFmtId="0" fontId="1" fillId="0" borderId="4" xfId="0" applyFont="1" applyBorder="1"/>
    <xf numFmtId="174" fontId="1" fillId="0" borderId="4" xfId="0" applyNumberFormat="1" applyFont="1" applyBorder="1"/>
    <xf numFmtId="174" fontId="0" fillId="0" borderId="0" xfId="0" applyNumberFormat="1"/>
    <xf numFmtId="174" fontId="1" fillId="0" borderId="1" xfId="0" applyNumberFormat="1" applyFont="1" applyBorder="1"/>
    <xf numFmtId="0" fontId="1" fillId="0" borderId="5" xfId="0" applyFont="1" applyBorder="1"/>
    <xf numFmtId="174" fontId="0" fillId="0" borderId="5" xfId="0" applyNumberFormat="1" applyBorder="1"/>
    <xf numFmtId="174" fontId="0" fillId="0" borderId="6" xfId="0" applyNumberFormat="1" applyBorder="1"/>
    <xf numFmtId="0" fontId="2" fillId="4" borderId="0" xfId="0" applyFont="1" applyFill="1"/>
    <xf numFmtId="17" fontId="2" fillId="4" borderId="0" xfId="0" applyNumberFormat="1" applyFont="1" applyFill="1"/>
    <xf numFmtId="0" fontId="0" fillId="0" borderId="1" xfId="0" applyBorder="1"/>
    <xf numFmtId="0" fontId="0" fillId="0" borderId="6" xfId="0" applyBorder="1"/>
    <xf numFmtId="0" fontId="1" fillId="0" borderId="7" xfId="0" applyFont="1" applyBorder="1"/>
    <xf numFmtId="0" fontId="0" fillId="0" borderId="7" xfId="0" applyBorder="1"/>
    <xf numFmtId="0" fontId="1" fillId="0" borderId="8" xfId="0" applyFont="1" applyBorder="1"/>
    <xf numFmtId="0" fontId="0" fillId="0" borderId="8" xfId="0" applyBorder="1"/>
    <xf numFmtId="0" fontId="1" fillId="0" borderId="9" xfId="0" applyFont="1" applyBorder="1"/>
    <xf numFmtId="0" fontId="0" fillId="0" borderId="9" xfId="0" applyBorder="1"/>
    <xf numFmtId="175" fontId="0" fillId="0" borderId="1" xfId="0" applyNumberFormat="1" applyBorder="1"/>
    <xf numFmtId="175" fontId="0" fillId="0" borderId="6" xfId="0" applyNumberFormat="1" applyBorder="1"/>
    <xf numFmtId="175" fontId="1" fillId="0" borderId="7" xfId="0" applyNumberFormat="1" applyFont="1" applyBorder="1"/>
    <xf numFmtId="175" fontId="0" fillId="0" borderId="0" xfId="0" applyNumberFormat="1"/>
    <xf numFmtId="175" fontId="0" fillId="0" borderId="8" xfId="0" applyNumberFormat="1" applyBorder="1"/>
    <xf numFmtId="175" fontId="0" fillId="0" borderId="9" xfId="0" applyNumberFormat="1" applyBorder="1"/>
    <xf numFmtId="0" fontId="1" fillId="8" borderId="0" xfId="0" applyFont="1" applyFill="1"/>
    <xf numFmtId="10" fontId="1" fillId="8" borderId="0" xfId="0" applyNumberFormat="1" applyFont="1" applyFill="1"/>
    <xf numFmtId="177" fontId="0" fillId="0" borderId="1" xfId="0" applyNumberFormat="1" applyBorder="1"/>
    <xf numFmtId="10" fontId="13" fillId="0" borderId="1" xfId="4" applyNumberFormat="1" applyFont="1" applyBorder="1"/>
    <xf numFmtId="176" fontId="0" fillId="0" borderId="6" xfId="0" applyNumberFormat="1" applyBorder="1"/>
    <xf numFmtId="0" fontId="1" fillId="0" borderId="10" xfId="0" applyFont="1" applyBorder="1"/>
    <xf numFmtId="10" fontId="1" fillId="0" borderId="10" xfId="4" applyNumberFormat="1" applyFont="1" applyBorder="1"/>
    <xf numFmtId="0" fontId="5" fillId="4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4" borderId="0" xfId="0" applyFont="1" applyFill="1" applyAlignment="1">
      <alignment horizontal="center"/>
    </xf>
    <xf numFmtId="164" fontId="4" fillId="0" borderId="0" xfId="2" applyNumberFormat="1" applyBorder="1" applyAlignment="1" applyProtection="1">
      <alignment horizontal="center"/>
    </xf>
    <xf numFmtId="164" fontId="2" fillId="2" borderId="0" xfId="3" applyNumberFormat="1" applyFont="1" applyBorder="1" applyAlignment="1">
      <alignment horizontal="center"/>
    </xf>
    <xf numFmtId="0" fontId="0" fillId="9" borderId="0" xfId="0" applyFill="1"/>
    <xf numFmtId="10" fontId="8" fillId="9" borderId="0" xfId="0" applyNumberFormat="1" applyFont="1" applyFill="1"/>
    <xf numFmtId="10" fontId="0" fillId="9" borderId="0" xfId="0" applyNumberFormat="1" applyFill="1"/>
    <xf numFmtId="179" fontId="2" fillId="4" borderId="0" xfId="0" applyNumberFormat="1" applyFont="1" applyFill="1"/>
    <xf numFmtId="180" fontId="2" fillId="4" borderId="0" xfId="0" applyNumberFormat="1" applyFont="1" applyFill="1"/>
    <xf numFmtId="9" fontId="15" fillId="5" borderId="1" xfId="0" applyNumberFormat="1" applyFont="1" applyFill="1" applyBorder="1"/>
    <xf numFmtId="10" fontId="14" fillId="0" borderId="1" xfId="0" applyNumberFormat="1" applyFont="1" applyBorder="1"/>
    <xf numFmtId="2" fontId="0" fillId="0" borderId="1" xfId="0" applyNumberFormat="1" applyBorder="1"/>
    <xf numFmtId="0" fontId="1" fillId="0" borderId="11" xfId="0" applyFont="1" applyBorder="1"/>
    <xf numFmtId="0" fontId="2" fillId="4" borderId="0" xfId="0" applyFont="1" applyFill="1" applyAlignment="1"/>
    <xf numFmtId="0" fontId="1" fillId="0" borderId="12" xfId="0" applyFont="1" applyBorder="1"/>
    <xf numFmtId="0" fontId="2" fillId="4" borderId="0" xfId="0" applyFont="1" applyFill="1" applyAlignment="1"/>
    <xf numFmtId="0" fontId="1" fillId="0" borderId="13" xfId="0" applyFont="1" applyBorder="1"/>
  </cellXfs>
  <cellStyles count="5">
    <cellStyle name="Accent6" xfId="3" builtinId="49"/>
    <cellStyle name="Comma" xfId="1" builtinId="3"/>
    <cellStyle name="Hyperlink" xfId="2" builtinId="8"/>
    <cellStyle name="Normal" xfId="0" builtinId="0"/>
    <cellStyle name="Percent" xfId="4" builtinId="5"/>
  </cellStyles>
  <dxfs count="1">
    <dxf>
      <font>
        <b/>
        <i val="0"/>
        <color theme="0"/>
      </font>
      <fill>
        <patternFill>
          <bgColor theme="5"/>
        </patternFill>
      </fill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ity\OneDrive\Desktop\WACC%20Modelling.xlsx" TargetMode="External"/><Relationship Id="rId1" Type="http://schemas.openxmlformats.org/officeDocument/2006/relationships/externalLinkPath" Target="WACC%20Modell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CF &gt;"/>
      <sheetName val="WACC"/>
      <sheetName val="Beta regression"/>
      <sheetName val="Beta - Comps"/>
      <sheetName val="Intrinsic Growth"/>
      <sheetName val="Data Room&gt;"/>
      <sheetName val="Datasheet"/>
    </sheetNames>
    <sheetDataSet>
      <sheetData sheetId="0"/>
      <sheetData sheetId="1"/>
      <sheetData sheetId="2"/>
      <sheetData sheetId="3"/>
      <sheetData sheetId="4"/>
      <sheetData sheetId="5">
        <row r="1">
          <cell r="I1">
            <v>44256</v>
          </cell>
          <cell r="J1">
            <v>44621</v>
          </cell>
          <cell r="K1">
            <v>44986</v>
          </cell>
          <cell r="L1">
            <v>45352</v>
          </cell>
          <cell r="M1">
            <v>45717</v>
          </cell>
        </row>
        <row r="11">
          <cell r="A11" t="str">
            <v>Trade Payables</v>
          </cell>
          <cell r="I11">
            <v>3379</v>
          </cell>
          <cell r="J11">
            <v>4164</v>
          </cell>
          <cell r="K11">
            <v>3635</v>
          </cell>
          <cell r="L11">
            <v>3831</v>
          </cell>
          <cell r="M11">
            <v>3848</v>
          </cell>
        </row>
        <row r="12">
          <cell r="A12" t="str">
            <v>Advance from Customers</v>
          </cell>
          <cell r="I12">
            <v>41</v>
          </cell>
          <cell r="J12">
            <v>76</v>
          </cell>
          <cell r="K12">
            <v>108</v>
          </cell>
          <cell r="L12">
            <v>154</v>
          </cell>
          <cell r="M12">
            <v>173</v>
          </cell>
        </row>
        <row r="13">
          <cell r="A13" t="str">
            <v>Other liability items</v>
          </cell>
          <cell r="I13">
            <v>2613</v>
          </cell>
          <cell r="J13">
            <v>2932</v>
          </cell>
          <cell r="K13">
            <v>3657</v>
          </cell>
          <cell r="L13">
            <v>4017</v>
          </cell>
          <cell r="M13">
            <v>3985</v>
          </cell>
        </row>
        <row r="16">
          <cell r="A16" t="str">
            <v>Land</v>
          </cell>
          <cell r="I16">
            <v>644</v>
          </cell>
          <cell r="J16">
            <v>644</v>
          </cell>
          <cell r="K16">
            <v>804</v>
          </cell>
          <cell r="L16">
            <v>1126</v>
          </cell>
          <cell r="M16">
            <v>1050</v>
          </cell>
        </row>
        <row r="17">
          <cell r="A17" t="str">
            <v>Building</v>
          </cell>
          <cell r="I17">
            <v>2249</v>
          </cell>
          <cell r="J17">
            <v>2325</v>
          </cell>
          <cell r="K17">
            <v>2883</v>
          </cell>
          <cell r="L17">
            <v>3390</v>
          </cell>
          <cell r="M17">
            <v>4136</v>
          </cell>
        </row>
        <row r="18">
          <cell r="A18" t="str">
            <v>Plant Machinery</v>
          </cell>
          <cell r="I18">
            <v>4340</v>
          </cell>
          <cell r="J18">
            <v>4531</v>
          </cell>
          <cell r="K18">
            <v>4825</v>
          </cell>
          <cell r="L18">
            <v>5422</v>
          </cell>
          <cell r="M18">
            <v>7576</v>
          </cell>
        </row>
        <row r="19">
          <cell r="A19" t="str">
            <v>Equipments</v>
          </cell>
          <cell r="I19">
            <v>243</v>
          </cell>
          <cell r="J19">
            <v>253</v>
          </cell>
          <cell r="K19">
            <v>270</v>
          </cell>
          <cell r="L19">
            <v>298</v>
          </cell>
          <cell r="M19">
            <v>325</v>
          </cell>
        </row>
        <row r="20">
          <cell r="A20" t="str">
            <v>Furniture n fittings</v>
          </cell>
          <cell r="I20">
            <v>99</v>
          </cell>
          <cell r="J20">
            <v>113</v>
          </cell>
          <cell r="K20">
            <v>146</v>
          </cell>
          <cell r="L20">
            <v>175</v>
          </cell>
          <cell r="M20">
            <v>203</v>
          </cell>
        </row>
        <row r="21">
          <cell r="A21" t="str">
            <v>Vehicles</v>
          </cell>
          <cell r="I21">
            <v>38</v>
          </cell>
          <cell r="J21">
            <v>32</v>
          </cell>
          <cell r="K21">
            <v>36</v>
          </cell>
          <cell r="L21">
            <v>40</v>
          </cell>
          <cell r="M21">
            <v>39</v>
          </cell>
        </row>
        <row r="22">
          <cell r="A22" t="str">
            <v>Intangible Assets</v>
          </cell>
          <cell r="I22">
            <v>476</v>
          </cell>
          <cell r="J22">
            <v>345</v>
          </cell>
          <cell r="K22">
            <v>422</v>
          </cell>
          <cell r="L22">
            <v>850</v>
          </cell>
          <cell r="M22">
            <v>827</v>
          </cell>
        </row>
        <row r="23">
          <cell r="A23" t="str">
            <v>Other fixed assets</v>
          </cell>
          <cell r="I23">
            <v>302</v>
          </cell>
          <cell r="J23">
            <v>294</v>
          </cell>
          <cell r="K23">
            <v>289</v>
          </cell>
          <cell r="L23">
            <v>321</v>
          </cell>
          <cell r="M23">
            <v>328</v>
          </cell>
        </row>
        <row r="25">
          <cell r="B25">
            <v>1242</v>
          </cell>
          <cell r="C25">
            <v>1452</v>
          </cell>
          <cell r="D25">
            <v>327</v>
          </cell>
          <cell r="E25">
            <v>610</v>
          </cell>
          <cell r="F25">
            <v>973</v>
          </cell>
        </row>
        <row r="32">
          <cell r="A32" t="str">
            <v>Inventories</v>
          </cell>
          <cell r="I32">
            <v>3799</v>
          </cell>
          <cell r="J32">
            <v>6153</v>
          </cell>
          <cell r="K32">
            <v>6211</v>
          </cell>
          <cell r="L32">
            <v>5923</v>
          </cell>
          <cell r="M32">
            <v>6719</v>
          </cell>
        </row>
        <row r="33">
          <cell r="A33" t="str">
            <v>Trade receivables -</v>
          </cell>
          <cell r="I33">
            <v>2602</v>
          </cell>
          <cell r="J33">
            <v>3871</v>
          </cell>
          <cell r="K33">
            <v>4637</v>
          </cell>
          <cell r="L33">
            <v>4889</v>
          </cell>
          <cell r="M33">
            <v>4314</v>
          </cell>
        </row>
        <row r="34">
          <cell r="A34" t="str">
            <v>Prov for Doubtful</v>
          </cell>
          <cell r="I34">
            <v>-185</v>
          </cell>
          <cell r="J34">
            <v>-241</v>
          </cell>
          <cell r="K34">
            <v>-305</v>
          </cell>
          <cell r="L34">
            <v>-422</v>
          </cell>
          <cell r="M34">
            <v>-663</v>
          </cell>
        </row>
        <row r="36">
          <cell r="A36" t="str">
            <v>Loans n Advances</v>
          </cell>
          <cell r="I36">
            <v>11</v>
          </cell>
          <cell r="J36">
            <v>8</v>
          </cell>
          <cell r="K36">
            <v>12</v>
          </cell>
          <cell r="L36">
            <v>17</v>
          </cell>
          <cell r="M36">
            <v>22</v>
          </cell>
        </row>
        <row r="37">
          <cell r="A37" t="str">
            <v>Other asset items</v>
          </cell>
          <cell r="I37">
            <v>2555</v>
          </cell>
          <cell r="J37">
            <v>2869</v>
          </cell>
          <cell r="K37">
            <v>3024</v>
          </cell>
          <cell r="L37">
            <v>3555</v>
          </cell>
          <cell r="M37">
            <v>3319</v>
          </cell>
        </row>
      </sheetData>
      <sheetData sheetId="6"/>
    </sheetDataSet>
  </externalBook>
</externalLink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B297D-60E5-4174-B570-7AFB11446866}">
  <sheetPr>
    <tabColor rgb="FF0275D8"/>
  </sheetPr>
  <dimension ref="M2:N2"/>
  <sheetViews>
    <sheetView showGridLines="0" workbookViewId="0">
      <selection activeCell="E24" sqref="E24"/>
    </sheetView>
  </sheetViews>
  <sheetFormatPr defaultRowHeight="14.4" x14ac:dyDescent="0.3"/>
  <sheetData>
    <row r="2" spans="13:14" x14ac:dyDescent="0.3">
      <c r="M2" s="14"/>
      <c r="N2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9B2E9-A5DF-483A-89F8-CCA4D9ACDC77}">
  <dimension ref="B2:O42"/>
  <sheetViews>
    <sheetView showGridLines="0" zoomScale="94" workbookViewId="0">
      <selection activeCell="Q12" sqref="Q12"/>
    </sheetView>
  </sheetViews>
  <sheetFormatPr defaultRowHeight="14.4" x14ac:dyDescent="0.3"/>
  <cols>
    <col min="1" max="1" width="1.88671875" customWidth="1"/>
    <col min="2" max="2" width="27.33203125" customWidth="1"/>
    <col min="10" max="10" width="11" customWidth="1"/>
  </cols>
  <sheetData>
    <row r="2" spans="2:15" x14ac:dyDescent="0.3">
      <c r="B2" s="84" t="str">
        <f>"Ratio Analysis  - "&amp;'Data Sheet'!B1</f>
        <v>Ratio Analysis  - ASIAN PAINTS LTD</v>
      </c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</row>
    <row r="3" spans="2:15" x14ac:dyDescent="0.3">
      <c r="B3" s="15" t="s">
        <v>55</v>
      </c>
      <c r="C3" s="16">
        <f>'Data Sheet'!B16</f>
        <v>42460</v>
      </c>
      <c r="D3" s="16">
        <f>'Data Sheet'!C16</f>
        <v>42825</v>
      </c>
      <c r="E3" s="16">
        <f>'Data Sheet'!D16</f>
        <v>43190</v>
      </c>
      <c r="F3" s="16">
        <f>'Data Sheet'!E16</f>
        <v>43555</v>
      </c>
      <c r="G3" s="16">
        <f>'Data Sheet'!F16</f>
        <v>43921</v>
      </c>
      <c r="H3" s="16">
        <f>'Data Sheet'!G16</f>
        <v>44286</v>
      </c>
      <c r="I3" s="16">
        <f>'Data Sheet'!H16</f>
        <v>44651</v>
      </c>
      <c r="J3" s="16">
        <f>'Data Sheet'!I16</f>
        <v>45016</v>
      </c>
      <c r="K3" s="16">
        <f>'Data Sheet'!J16</f>
        <v>45382</v>
      </c>
      <c r="L3" s="16">
        <f>'Data Sheet'!K16</f>
        <v>45747</v>
      </c>
      <c r="M3" s="17" t="s">
        <v>154</v>
      </c>
      <c r="N3" s="17" t="s">
        <v>155</v>
      </c>
      <c r="O3" s="17" t="s">
        <v>156</v>
      </c>
    </row>
    <row r="4" spans="2:15" x14ac:dyDescent="0.3">
      <c r="B4" t="s">
        <v>122</v>
      </c>
      <c r="D4" s="36">
        <f>IFERROR('Historical FS'!D6,0)</f>
        <v>5.5390151974320831E-2</v>
      </c>
      <c r="E4" s="36">
        <f>IFERROR('Historical FS'!E6,0)</f>
        <v>0.11702039371955496</v>
      </c>
      <c r="F4" s="36">
        <f>IFERROR('Historical FS'!F6,0)</f>
        <v>0.14357471670861935</v>
      </c>
      <c r="G4" s="36">
        <f>IFERROR('Historical FS'!G6,0)</f>
        <v>5.0473671435691904E-2</v>
      </c>
      <c r="H4" s="36">
        <f>IFERROR('Historical FS'!H6,0)</f>
        <v>7.4292287711052063E-2</v>
      </c>
      <c r="I4" s="36">
        <f>IFERROR('Historical FS'!I6,0)</f>
        <v>0.34028284711453471</v>
      </c>
      <c r="J4" s="36">
        <f>IFERROR('Historical FS'!J6,0)</f>
        <v>0.18512278497715556</v>
      </c>
      <c r="K4" s="36">
        <f>IFERROR('Historical FS'!K6,0)</f>
        <v>2.9173126532572275E-2</v>
      </c>
      <c r="L4" s="36">
        <f>IFERROR('Historical FS'!L6,0)</f>
        <v>-4.4770308155605086E-2</v>
      </c>
      <c r="N4" s="39">
        <f>MEDIAN(C4:L4)</f>
        <v>7.4292287711052063E-2</v>
      </c>
      <c r="O4" s="39">
        <f>AVERAGE(C4:L4)</f>
        <v>0.10561774133532183</v>
      </c>
    </row>
    <row r="5" spans="2:15" x14ac:dyDescent="0.3">
      <c r="B5" t="s">
        <v>123</v>
      </c>
      <c r="D5" s="36">
        <f>IFERROR('Historical FS'!C11/'Historical FS'!C5,0)</f>
        <v>0.34037441080083447</v>
      </c>
      <c r="E5" s="36">
        <f>IFERROR('Historical FS'!D11/'Historical FS'!D5,0)</f>
        <v>0.28363649159241239</v>
      </c>
      <c r="F5" s="36">
        <f>IFERROR('Historical FS'!E11/'Historical FS'!E5,0)</f>
        <v>0.3515481840524709</v>
      </c>
      <c r="G5" s="36">
        <f>IFERROR('Historical FS'!F11/'Historical FS'!F5,0)</f>
        <v>0.29874018522743873</v>
      </c>
      <c r="H5" s="36">
        <f>IFERROR('Historical FS'!G11/'Historical FS'!G5,0)</f>
        <v>0.32531040880697631</v>
      </c>
      <c r="I5" s="36">
        <f>IFERROR('Historical FS'!H11/'Historical FS'!H5,0)</f>
        <v>0.34508784914329305</v>
      </c>
      <c r="J5" s="36">
        <f>IFERROR('Historical FS'!I11/'Historical FS'!I5,0)</f>
        <v>0.20139217244052485</v>
      </c>
      <c r="K5" s="36">
        <f>IFERROR('Historical FS'!J11/'Historical FS'!J5,0)</f>
        <v>0.29292093414082737</v>
      </c>
      <c r="L5" s="36">
        <f>IFERROR('Historical FS'!K11/'Historical FS'!K5,0)</f>
        <v>0.37223384992645392</v>
      </c>
      <c r="N5" s="39">
        <f t="shared" ref="N5:N37" si="0">MEDIAN(C5:L5)</f>
        <v>0.32531040880697631</v>
      </c>
      <c r="O5" s="39">
        <f t="shared" ref="O5:O42" si="1">AVERAGE(C5:L5)</f>
        <v>0.31236049845902575</v>
      </c>
    </row>
    <row r="6" spans="2:15" x14ac:dyDescent="0.3">
      <c r="B6" t="s">
        <v>124</v>
      </c>
      <c r="D6" s="36">
        <f>IFERROR('Historical FS'!D16/'Historical FS'!C16-1,0)</f>
        <v>-0.28934621143175931</v>
      </c>
      <c r="E6" s="36">
        <f>IFERROR('Historical FS'!E16/'Historical FS'!D16-1,0)</f>
        <v>0.80127132647581312</v>
      </c>
      <c r="F6" s="36">
        <f>IFERROR('Historical FS'!F16/'Historical FS'!E16-1,0)</f>
        <v>-8.8826266315393809E-2</v>
      </c>
      <c r="G6" s="36">
        <f>IFERROR('Historical FS'!G16/'Historical FS'!F16-1,0)</f>
        <v>0.15734232731986286</v>
      </c>
      <c r="H6" s="36">
        <f>IFERROR('Historical FS'!H16/'Historical FS'!G16-1,0)</f>
        <v>0.26972260583060614</v>
      </c>
      <c r="I6" s="36">
        <f>IFERROR('Historical FS'!I16/'Historical FS'!H16-1,0)</f>
        <v>-0.53889780975014534</v>
      </c>
      <c r="J6" s="36">
        <f>IFERROR('Historical FS'!J16/'Historical FS'!I16-1,0)</f>
        <v>1.618962050824873</v>
      </c>
      <c r="K6" s="36">
        <f>IFERROR('Historical FS'!K16/'Historical FS'!J16-1,0)</f>
        <v>0.47376240607902464</v>
      </c>
      <c r="L6" s="36">
        <f>IFERROR('Historical FS'!L16/'Historical FS'!K16-1,0)</f>
        <v>-0.32677820845032479</v>
      </c>
      <c r="N6" s="39">
        <f t="shared" si="0"/>
        <v>0.15734232731986286</v>
      </c>
      <c r="O6" s="39">
        <f t="shared" si="1"/>
        <v>0.23080135784250633</v>
      </c>
    </row>
    <row r="7" spans="2:15" x14ac:dyDescent="0.3">
      <c r="B7" t="s">
        <v>125</v>
      </c>
      <c r="D7" s="36">
        <f>IFERROR('Historical FS'!D25/'Historical FS'!C25-1,0)</f>
        <v>-0.34827491397482202</v>
      </c>
      <c r="E7" s="36">
        <f>IFERROR('Historical FS'!E25/'Historical FS'!D25-1,0)</f>
        <v>0.9728017693232085</v>
      </c>
      <c r="F7" s="36">
        <f>IFERROR('Historical FS'!F25/'Historical FS'!E25-1,0)</f>
        <v>-0.2075345151036988</v>
      </c>
      <c r="G7" s="36">
        <f>IFERROR('Historical FS'!G25/'Historical FS'!F25-1,0)</f>
        <v>0.14305281276959336</v>
      </c>
      <c r="H7" s="36">
        <f>IFERROR('Historical FS'!H25/'Historical FS'!G25-1,0)</f>
        <v>0.35487124824283156</v>
      </c>
      <c r="I7" s="36">
        <f>IFERROR('Historical FS'!I25/'Historical FS'!H25-1,0)</f>
        <v>-0.67213158033687193</v>
      </c>
      <c r="J7" s="36">
        <f>IFERROR('Historical FS'!J25/'Historical FS'!I25-1,0)</f>
        <v>2.7345277397536094</v>
      </c>
      <c r="K7" s="36">
        <f>IFERROR('Historical FS'!K25/'Historical FS'!J25-1,0)</f>
        <v>0.56415497497795553</v>
      </c>
      <c r="L7" s="36">
        <f>IFERROR('Historical FS'!L25/'Historical FS'!K25-1,0)</f>
        <v>-0.40135035102785754</v>
      </c>
      <c r="N7" s="39">
        <f t="shared" si="0"/>
        <v>0.14305281276959336</v>
      </c>
      <c r="O7" s="39">
        <f t="shared" si="1"/>
        <v>0.34890190940266091</v>
      </c>
    </row>
    <row r="8" spans="2:15" x14ac:dyDescent="0.3">
      <c r="B8" t="s">
        <v>126</v>
      </c>
      <c r="D8" s="36">
        <f>IFERROR('Historical FS'!D31/'Historical FS'!C31-1,0)</f>
        <v>-0.6007956451602543</v>
      </c>
      <c r="E8" s="36">
        <f>IFERROR('Historical FS'!E31/'Historical FS'!D31-1,0)</f>
        <v>2.2928761168799818</v>
      </c>
      <c r="F8" s="36">
        <f>IFERROR('Historical FS'!F31/'Historical FS'!E31-1,0)</f>
        <v>-0.34107276434092548</v>
      </c>
      <c r="G8" s="36">
        <f>IFERROR('Historical FS'!G31/'Historical FS'!F31-1,0)</f>
        <v>0.44005935818957442</v>
      </c>
      <c r="H8" s="36">
        <f>IFERROR('Historical FS'!H31/'Historical FS'!G31-1,0)</f>
        <v>0.38610086354362094</v>
      </c>
      <c r="I8" s="36">
        <f>IFERROR('Historical FS'!I31/'Historical FS'!H31-1,0)</f>
        <v>-0.94833469630510869</v>
      </c>
      <c r="J8" s="36">
        <f>IFERROR('Historical FS'!J31/'Historical FS'!I31-1,0)</f>
        <v>21.623282250522109</v>
      </c>
      <c r="K8" s="36">
        <f>IFERROR('Historical FS'!K31/'Historical FS'!J31-1,0)</f>
        <v>0.73779182740164617</v>
      </c>
      <c r="L8" s="36">
        <f>IFERROR('Historical FS'!L31/'Historical FS'!K31-1,0)</f>
        <v>-0.46022842690686683</v>
      </c>
      <c r="N8" s="39">
        <f t="shared" si="0"/>
        <v>0.38610086354362094</v>
      </c>
      <c r="O8" s="39">
        <f t="shared" si="1"/>
        <v>2.5699643204248641</v>
      </c>
    </row>
    <row r="9" spans="2:15" x14ac:dyDescent="0.3">
      <c r="B9" t="s">
        <v>127</v>
      </c>
      <c r="D9" s="36">
        <f>IFERROR('Historical FS'!D39/'Historical FS'!C39-1,0)</f>
        <v>0.37333889352237981</v>
      </c>
      <c r="E9" s="36">
        <f>IFERROR('Historical FS'!E39/'Historical FS'!D39-1,0)</f>
        <v>-0.15534727423632055</v>
      </c>
      <c r="F9" s="36">
        <f>IFERROR('Historical FS'!F39/'Historical FS'!E39-1,0)</f>
        <v>0.20690233672857983</v>
      </c>
      <c r="G9" s="36">
        <f>IFERROR('Historical FS'!G39/'Historical FS'!F39-1,0)</f>
        <v>0.14285714285714302</v>
      </c>
      <c r="H9" s="36">
        <f>IFERROR('Historical FS'!H39/'Historical FS'!G39-1,0)</f>
        <v>0.4874982624409232</v>
      </c>
      <c r="I9" s="36">
        <f>IFERROR('Historical FS'!I39/'Historical FS'!H39-1,0)</f>
        <v>7.2831552941588606E-2</v>
      </c>
      <c r="J9" s="36">
        <f>IFERROR('Historical FS'!J39/'Historical FS'!I39-1,0)</f>
        <v>0.33942521789783719</v>
      </c>
      <c r="K9" s="36">
        <f>IFERROR('Historical FS'!K39/'Historical FS'!J39-1,0)</f>
        <v>0.2982461844859472</v>
      </c>
      <c r="L9" s="36">
        <f>IFERROR('Historical FS'!L39/'Historical FS'!K39-1,0)</f>
        <v>-0.25525493560081902</v>
      </c>
      <c r="N9" s="39">
        <f t="shared" si="0"/>
        <v>0.20690233672857983</v>
      </c>
      <c r="O9" s="39">
        <f t="shared" si="1"/>
        <v>0.16783304233747329</v>
      </c>
    </row>
    <row r="10" spans="2:15" x14ac:dyDescent="0.3">
      <c r="N10" s="39"/>
      <c r="O10" s="39"/>
    </row>
    <row r="11" spans="2:15" x14ac:dyDescent="0.3">
      <c r="B11" t="s">
        <v>128</v>
      </c>
      <c r="C11" s="36">
        <f>IFERROR('Historical FS'!C11/'Historical FS'!C5,0)</f>
        <v>0.34037441080083447</v>
      </c>
      <c r="D11" s="36">
        <f>IFERROR('Historical FS'!D11/'Historical FS'!D5,0)</f>
        <v>0.28363649159241239</v>
      </c>
      <c r="E11" s="36">
        <f>IFERROR('Historical FS'!E11/'Historical FS'!E5,0)</f>
        <v>0.3515481840524709</v>
      </c>
      <c r="F11" s="36">
        <f>IFERROR('Historical FS'!F11/'Historical FS'!F5,0)</f>
        <v>0.29874018522743873</v>
      </c>
      <c r="G11" s="36">
        <f>IFERROR('Historical FS'!G11/'Historical FS'!G5,0)</f>
        <v>0.32531040880697631</v>
      </c>
      <c r="H11" s="36">
        <f>IFERROR('Historical FS'!H11/'Historical FS'!H5,0)</f>
        <v>0.34508784914329305</v>
      </c>
      <c r="I11" s="36">
        <f>IFERROR('Historical FS'!I11/'Historical FS'!I5,0)</f>
        <v>0.20139217244052485</v>
      </c>
      <c r="J11" s="36">
        <f>IFERROR('Historical FS'!J11/'Historical FS'!J5,0)</f>
        <v>0.29292093414082737</v>
      </c>
      <c r="K11" s="36">
        <f>IFERROR('Historical FS'!K11/'Historical FS'!K5,0)</f>
        <v>0.37223384992645392</v>
      </c>
      <c r="L11" s="36">
        <f>IFERROR('Historical FS'!L11/'Historical FS'!L5,0)</f>
        <v>0.31718487967481501</v>
      </c>
      <c r="N11" s="39">
        <f t="shared" si="0"/>
        <v>0.32124764424089569</v>
      </c>
      <c r="O11" s="39">
        <f t="shared" si="1"/>
        <v>0.31284293658060464</v>
      </c>
    </row>
    <row r="12" spans="2:15" x14ac:dyDescent="0.3">
      <c r="B12" t="s">
        <v>129</v>
      </c>
      <c r="C12" s="36"/>
      <c r="D12" s="36"/>
      <c r="E12" s="36"/>
      <c r="F12" s="36"/>
      <c r="G12" s="36"/>
      <c r="H12" s="36"/>
      <c r="I12" s="36"/>
      <c r="J12" s="36"/>
      <c r="K12" s="36"/>
      <c r="L12" s="36"/>
      <c r="N12" s="39"/>
      <c r="O12" s="39"/>
    </row>
    <row r="13" spans="2:15" x14ac:dyDescent="0.3">
      <c r="B13" t="s">
        <v>130</v>
      </c>
      <c r="C13" s="36">
        <f>IFERROR('Historical FS'!C17,0)</f>
        <v>0.19094292186730338</v>
      </c>
      <c r="D13" s="36">
        <f>IFERROR('Historical FS'!D17,0)</f>
        <v>0.12857265208647725</v>
      </c>
      <c r="E13" s="36">
        <f>IFERROR('Historical FS'!E17,0)</f>
        <v>0.20733214261302677</v>
      </c>
      <c r="F13" s="36">
        <f>IFERROR('Historical FS'!F17,0)</f>
        <v>0.16519742849970354</v>
      </c>
      <c r="G13" s="36">
        <f>IFERROR('Historical FS'!G17,0)</f>
        <v>0.18200358711113859</v>
      </c>
      <c r="H13" s="36">
        <f>IFERROR('Historical FS'!H17,0)</f>
        <v>0.21511284362811051</v>
      </c>
      <c r="I13" s="36">
        <f>IFERROR('Historical FS'!I17,0)</f>
        <v>7.400602310276376E-2</v>
      </c>
      <c r="J13" s="36">
        <f>IFERROR('Historical FS'!J17,0)</f>
        <v>0.16354336318185222</v>
      </c>
      <c r="K13" s="36">
        <f>IFERROR('Historical FS'!K17,0)</f>
        <v>0.23419194905835325</v>
      </c>
      <c r="L13" s="36">
        <f>IFERROR('Historical FS'!L17,0)</f>
        <v>0.16505257830412778</v>
      </c>
      <c r="N13" s="39">
        <f t="shared" si="0"/>
        <v>0.17360050780542108</v>
      </c>
      <c r="O13" s="39">
        <f t="shared" si="1"/>
        <v>0.17259554894528567</v>
      </c>
    </row>
    <row r="14" spans="2:15" x14ac:dyDescent="0.3">
      <c r="B14" t="s">
        <v>131</v>
      </c>
      <c r="C14" s="36">
        <f>IFERROR(('Historical FS'!C16-'Historical FS'!C22)/'Historical FS'!C5,0)</f>
        <v>0.17163309507276406</v>
      </c>
      <c r="D14" s="36">
        <f>IFERROR(('Historical FS'!D16-'Historical FS'!D22)/'Historical FS'!D5,0)</f>
        <v>0.10634517749646624</v>
      </c>
      <c r="E14" s="36">
        <f>IFERROR(('Historical FS'!E16-'Historical FS'!E22)/'Historical FS'!E5,0)</f>
        <v>0.18590690389936132</v>
      </c>
      <c r="F14" s="36">
        <f>IFERROR(('Historical FS'!F16-'Historical FS'!F22)/'Historical FS'!F5,0)</f>
        <v>0.13286188814732547</v>
      </c>
      <c r="G14" s="36">
        <f>IFERROR(('Historical FS'!G16-'Historical FS'!G22)/'Historical FS'!G5,0)</f>
        <v>0.14338648030181211</v>
      </c>
      <c r="H14" s="36">
        <f>IFERROR(('Historical FS'!H16-'Historical FS'!H22)/'Historical FS'!H5,0)</f>
        <v>0.17867026761646024</v>
      </c>
      <c r="I14" s="36">
        <f>IFERROR(('Historical FS'!I16-'Historical FS'!I22)/'Historical FS'!I5,0)</f>
        <v>4.5953648774211882E-2</v>
      </c>
      <c r="J14" s="36">
        <f>IFERROR(('Historical FS'!J16-'Historical FS'!J22)/'Historical FS'!J5,0)</f>
        <v>0.13866499036347957</v>
      </c>
      <c r="K14" s="36">
        <f>IFERROR(('Historical FS'!K16-'Historical FS'!K22)/'Historical FS'!K5,0)</f>
        <v>0.21016021251605529</v>
      </c>
      <c r="L14" s="36">
        <f>IFERROR(('Historical FS'!L16-'Historical FS'!L22)/'Historical FS'!L5,0)</f>
        <v>0.13478208037487593</v>
      </c>
      <c r="N14" s="39">
        <f t="shared" si="0"/>
        <v>0.14102573533264584</v>
      </c>
      <c r="O14" s="39">
        <f t="shared" si="1"/>
        <v>0.1448364744562812</v>
      </c>
    </row>
    <row r="15" spans="2:15" x14ac:dyDescent="0.3">
      <c r="B15" t="s">
        <v>132</v>
      </c>
      <c r="C15" s="36">
        <f>IFERROR('Historical FS'!C26,0)</f>
        <v>0.16819967641780931</v>
      </c>
      <c r="D15" s="36">
        <f>IFERROR('Historical FS'!D26,0)</f>
        <v>0.10386675333073515</v>
      </c>
      <c r="E15" s="36">
        <f>IFERROR('Historical FS'!E26,0)</f>
        <v>0.1834420534278777</v>
      </c>
      <c r="F15" s="36">
        <f>IFERROR('Historical FS'!F26,0)</f>
        <v>0.12712024295054145</v>
      </c>
      <c r="G15" s="36">
        <f>IFERROR('Historical FS'!G26,0)</f>
        <v>0.13832345846991156</v>
      </c>
      <c r="H15" s="36">
        <f>IFERROR('Historical FS'!H26,0)</f>
        <v>0.17445017429819021</v>
      </c>
      <c r="I15" s="36">
        <f>IFERROR('Historical FS'!I26,0)</f>
        <v>4.2675098827267971E-2</v>
      </c>
      <c r="J15" s="36">
        <f>IFERROR('Historical FS'!J26,0)</f>
        <v>0.13447664865394604</v>
      </c>
      <c r="K15" s="36">
        <f>IFERROR('Historical FS'!K26,0)</f>
        <v>0.20437991780751685</v>
      </c>
      <c r="L15" s="36">
        <f>IFERROR('Historical FS'!L26,0)</f>
        <v>0.12808643522814217</v>
      </c>
      <c r="N15" s="39">
        <f t="shared" si="0"/>
        <v>0.1364000535619288</v>
      </c>
      <c r="O15" s="39">
        <f t="shared" si="1"/>
        <v>0.14050204594119381</v>
      </c>
    </row>
    <row r="16" spans="2:15" x14ac:dyDescent="0.3">
      <c r="B16" t="s">
        <v>133</v>
      </c>
      <c r="C16" s="36">
        <f>IFERROR('Historical FS'!C32,0)</f>
        <v>0.10902645764387611</v>
      </c>
      <c r="D16" s="36">
        <f>IFERROR('Historical FS'!D32,0)</f>
        <v>4.1239570601228633E-2</v>
      </c>
      <c r="E16" s="36">
        <f>IFERROR('Historical FS'!E32,0)</f>
        <v>0.12157056206555299</v>
      </c>
      <c r="F16" s="36">
        <f>IFERROR('Historical FS'!F32,0)</f>
        <v>7.0048902995977727E-2</v>
      </c>
      <c r="G16" s="36">
        <f>IFERROR('Historical FS'!G32,0)</f>
        <v>9.6027707341208496E-2</v>
      </c>
      <c r="H16" s="36">
        <f>IFERROR('Historical FS'!H32,0)</f>
        <v>0.12389932385474191</v>
      </c>
      <c r="I16" s="36">
        <f>IFERROR('Historical FS'!I32,0)</f>
        <v>4.7760785779868385E-3</v>
      </c>
      <c r="J16" s="36">
        <f>IFERROR('Historical FS'!J32,0)</f>
        <v>9.1172471823289858E-2</v>
      </c>
      <c r="K16" s="36">
        <f>IFERROR('Historical FS'!K32,0)</f>
        <v>0.15394764236831787</v>
      </c>
      <c r="L16" s="36">
        <f>IFERROR('Historical FS'!L32,0)</f>
        <v>8.6991183172583253E-2</v>
      </c>
      <c r="N16" s="39">
        <f t="shared" si="0"/>
        <v>9.3600089582249177E-2</v>
      </c>
      <c r="O16" s="39">
        <f t="shared" si="1"/>
        <v>8.9869990044476364E-2</v>
      </c>
    </row>
    <row r="17" spans="2:15" x14ac:dyDescent="0.3">
      <c r="N17" s="39"/>
      <c r="O17" s="39"/>
    </row>
    <row r="18" spans="2:15" x14ac:dyDescent="0.3">
      <c r="B18" t="s">
        <v>134</v>
      </c>
      <c r="C18" s="36">
        <f>IFERROR('Historical FS'!C14,0)</f>
        <v>0.14943148893353111</v>
      </c>
      <c r="D18" s="36">
        <f>IFERROR('Historical FS'!D14,0)</f>
        <v>0.15506383950593511</v>
      </c>
      <c r="E18" s="36">
        <f>IFERROR('Historical FS'!E14,0)</f>
        <v>0.14421604143944414</v>
      </c>
      <c r="F18" s="36">
        <f>IFERROR('Historical FS'!F14,0)</f>
        <v>0.13354275672773522</v>
      </c>
      <c r="G18" s="36">
        <f>IFERROR('Historical FS'!G14,0)</f>
        <v>0.14330682169583772</v>
      </c>
      <c r="H18" s="36">
        <f>IFERROR('Historical FS'!H14,0)</f>
        <v>0.12997500551518251</v>
      </c>
      <c r="I18" s="36">
        <f>IFERROR('Historical FS'!I14,0)</f>
        <v>0.1273861493377611</v>
      </c>
      <c r="J18" s="36">
        <f>IFERROR('Historical FS'!J14,0)</f>
        <v>0.12937757095897515</v>
      </c>
      <c r="K18" s="36">
        <f>IFERROR('Historical FS'!K14,0)</f>
        <v>0.1380419008681007</v>
      </c>
      <c r="L18" s="36">
        <f>IFERROR('Historical FS'!L14,0)</f>
        <v>0.15213230137068723</v>
      </c>
      <c r="N18" s="39">
        <f t="shared" si="0"/>
        <v>0.1406743612819692</v>
      </c>
      <c r="O18" s="39">
        <f t="shared" si="1"/>
        <v>0.14024738763531899</v>
      </c>
    </row>
    <row r="19" spans="2:15" x14ac:dyDescent="0.3">
      <c r="B19" t="s">
        <v>135</v>
      </c>
      <c r="C19" s="36">
        <f>IFERROR('Historical FS'!C23,0)</f>
        <v>1.9309826794539322E-2</v>
      </c>
      <c r="D19" s="36">
        <f>IFERROR('Historical FS'!D23,0)</f>
        <v>2.2227474590011016E-2</v>
      </c>
      <c r="E19" s="36">
        <f>IFERROR('Historical FS'!E23,0)</f>
        <v>2.1425238713665449E-2</v>
      </c>
      <c r="F19" s="36">
        <f>IFERROR('Historical FS'!F23,0)</f>
        <v>3.2335540352378074E-2</v>
      </c>
      <c r="G19" s="36">
        <f>IFERROR('Historical FS'!G23,0)</f>
        <v>3.8617106809326486E-2</v>
      </c>
      <c r="H19" s="36">
        <f>IFERROR('Historical FS'!H23,0)</f>
        <v>3.6442576011650275E-2</v>
      </c>
      <c r="I19" s="36">
        <f>IFERROR('Historical FS'!I23,0)</f>
        <v>2.8052374328551871E-2</v>
      </c>
      <c r="J19" s="36">
        <f>IFERROR('Historical FS'!J23,0)</f>
        <v>2.4878372818372688E-2</v>
      </c>
      <c r="K19" s="36">
        <f>IFERROR('Historical FS'!K23,0)</f>
        <v>2.4031736542297968E-2</v>
      </c>
      <c r="L19" s="36">
        <f>IFERROR('Historical FS'!L23,0)</f>
        <v>3.0270497929251843E-2</v>
      </c>
      <c r="N19" s="39">
        <f t="shared" si="0"/>
        <v>2.6465373573462278E-2</v>
      </c>
      <c r="O19" s="39">
        <f t="shared" si="1"/>
        <v>2.7759074489004498E-2</v>
      </c>
    </row>
    <row r="20" spans="2:15" x14ac:dyDescent="0.3">
      <c r="B20" t="s">
        <v>136</v>
      </c>
      <c r="C20" s="4">
        <f>C14</f>
        <v>0.17163309507276406</v>
      </c>
      <c r="D20" s="4">
        <f t="shared" ref="D20:L20" si="2">D14</f>
        <v>0.10634517749646624</v>
      </c>
      <c r="E20" s="4">
        <f t="shared" si="2"/>
        <v>0.18590690389936132</v>
      </c>
      <c r="F20" s="4">
        <f t="shared" si="2"/>
        <v>0.13286188814732547</v>
      </c>
      <c r="G20" s="4">
        <f t="shared" si="2"/>
        <v>0.14338648030181211</v>
      </c>
      <c r="H20" s="4">
        <f t="shared" si="2"/>
        <v>0.17867026761646024</v>
      </c>
      <c r="I20" s="4">
        <f t="shared" si="2"/>
        <v>4.5953648774211882E-2</v>
      </c>
      <c r="J20" s="4">
        <f t="shared" si="2"/>
        <v>0.13866499036347957</v>
      </c>
      <c r="K20" s="4">
        <f t="shared" si="2"/>
        <v>0.21016021251605529</v>
      </c>
      <c r="L20" s="4">
        <f t="shared" si="2"/>
        <v>0.13478208037487593</v>
      </c>
      <c r="N20" s="39">
        <f t="shared" si="0"/>
        <v>0.14102573533264584</v>
      </c>
      <c r="O20" s="39">
        <f t="shared" si="1"/>
        <v>0.1448364744562812</v>
      </c>
    </row>
    <row r="21" spans="2:15" x14ac:dyDescent="0.3">
      <c r="N21" s="39"/>
      <c r="O21" s="39"/>
    </row>
    <row r="22" spans="2:15" x14ac:dyDescent="0.3">
      <c r="B22" t="s">
        <v>137</v>
      </c>
      <c r="C22" s="36">
        <f>IFERROR(('Historical FS'!C16-'Historical FS'!C19) / SUM('Historical FS'!C45:C47),0)</f>
        <v>0.39077059217798799</v>
      </c>
      <c r="D22" s="36">
        <f>IFERROR(('Historical FS'!D16-'Historical FS'!D19) / SUM('Historical FS'!D45:D47),0)</f>
        <v>0.23262818416433631</v>
      </c>
      <c r="E22" s="36">
        <f>IFERROR(('Historical FS'!E16-'Historical FS'!E19) / SUM('Historical FS'!E45:E47),0)</f>
        <v>0.38539032118841726</v>
      </c>
      <c r="F22" s="36">
        <f>IFERROR(('Historical FS'!F16-'Historical FS'!F19) / SUM('Historical FS'!F45:F47),0)</f>
        <v>0.28432876280681929</v>
      </c>
      <c r="G22" s="36">
        <f>IFERROR(('Historical FS'!G16-'Historical FS'!G19) / SUM('Historical FS'!G45:G47),0)</f>
        <v>0.31792142352955821</v>
      </c>
      <c r="H22" s="36">
        <f>IFERROR(('Historical FS'!H16-'Historical FS'!H19) / SUM('Historical FS'!H45:H47),0)</f>
        <v>0.32944347997504941</v>
      </c>
      <c r="I22" s="36">
        <f>IFERROR(('Historical FS'!I16-'Historical FS'!I19) / SUM('Historical FS'!I45:I47),0)</f>
        <v>0.13366678702517898</v>
      </c>
      <c r="J22" s="36">
        <f>IFERROR(('Historical FS'!J16-'Historical FS'!J19) / SUM('Historical FS'!J45:J47),0)</f>
        <v>0.30660953927090029</v>
      </c>
      <c r="K22" s="36">
        <f>IFERROR(('Historical FS'!K16-'Historical FS'!K19) / SUM('Historical FS'!K45:K47),0)</f>
        <v>0.38237666181822316</v>
      </c>
      <c r="L22" s="36">
        <f>IFERROR(('Historical FS'!L16-'Historical FS'!L19) / SUM('Historical FS'!L45:L47),0)</f>
        <v>0.24754104407079736</v>
      </c>
      <c r="N22" s="39">
        <f t="shared" si="0"/>
        <v>0.31226548140022925</v>
      </c>
      <c r="O22" s="39">
        <f t="shared" si="1"/>
        <v>0.30106767960272685</v>
      </c>
    </row>
    <row r="23" spans="2:15" x14ac:dyDescent="0.3">
      <c r="B23" t="s">
        <v>138</v>
      </c>
      <c r="C23" s="36">
        <f>IFERROR('Historical FS'!C42,0)</f>
        <v>0.53765175421119982</v>
      </c>
      <c r="D23" s="36">
        <f>IFERROR('Historical FS'!D42,0)</f>
        <v>0</v>
      </c>
      <c r="E23" s="36">
        <f>IFERROR('Historical FS'!E42,0)</f>
        <v>0.59200535844370439</v>
      </c>
      <c r="F23" s="36">
        <f>IFERROR('Historical FS'!F42,0)</f>
        <v>0.25271007234279408</v>
      </c>
      <c r="G23" s="36">
        <f>IFERROR('Historical FS'!G42,0)</f>
        <v>0.40693720244842446</v>
      </c>
      <c r="H23" s="36">
        <f>IFERROR('Historical FS'!H42,0)</f>
        <v>0.36355289569548765</v>
      </c>
      <c r="I23" s="36">
        <f>IFERROR('Historical FS'!I42,0)</f>
        <v>0</v>
      </c>
      <c r="J23" s="36">
        <f>IFERROR('Historical FS'!J42,0)</f>
        <v>0.21754796607312565</v>
      </c>
      <c r="K23" s="36">
        <f>IFERROR('Historical FS'!K42,0)</f>
        <v>0.41545624074680743</v>
      </c>
      <c r="L23" s="36">
        <f>IFERROR('Historical FS'!L42,0)</f>
        <v>0.19348090686864572</v>
      </c>
      <c r="N23" s="39">
        <f t="shared" si="0"/>
        <v>0.30813148401914087</v>
      </c>
      <c r="O23" s="39">
        <f t="shared" si="1"/>
        <v>0.29793423968301896</v>
      </c>
    </row>
    <row r="24" spans="2:15" x14ac:dyDescent="0.3">
      <c r="B24" t="s">
        <v>139</v>
      </c>
      <c r="C24" s="36">
        <f>IFERROR('Historical FS'!C31/SUM('Historical FS'!C45:C46),0)</f>
        <v>0.23846941371562763</v>
      </c>
      <c r="D24" s="36">
        <f>IFERROR('Historical FS'!D31/SUM('Historical FS'!D45:D46),0)</f>
        <v>8.168845156886799E-2</v>
      </c>
      <c r="E24" s="36">
        <f>IFERROR('Historical FS'!E31/SUM('Historical FS'!E45:E46),0)</f>
        <v>0.24320024541540475</v>
      </c>
      <c r="F24" s="36">
        <f>IFERROR('Historical FS'!F31/SUM('Historical FS'!F45:F46),0)</f>
        <v>0.14230958075296588</v>
      </c>
      <c r="G24" s="36">
        <f>IFERROR('Historical FS'!G31/SUM('Historical FS'!G45:G46),0)</f>
        <v>0.19159026116073194</v>
      </c>
      <c r="H24" s="36">
        <f>IFERROR('Historical FS'!H31/SUM('Historical FS'!H45:H46),0)</f>
        <v>0.21006864595444907</v>
      </c>
      <c r="I24" s="36">
        <f>IFERROR('Historical FS'!I31/SUM('Historical FS'!I45:I46),0)</f>
        <v>1.0063309285844382E-2</v>
      </c>
      <c r="J24" s="36">
        <f>IFERROR('Historical FS'!J31/SUM('Historical FS'!J45:J46),0)</f>
        <v>0.19662110912611913</v>
      </c>
      <c r="K24" s="36">
        <f>IFERROR('Historical FS'!K31/SUM('Historical FS'!K45:K46),0)</f>
        <v>0.29176860686768175</v>
      </c>
      <c r="L24" s="36">
        <f>IFERROR('Historical FS'!L31/SUM('Historical FS'!L45:L46),0)</f>
        <v>0.15203705603302314</v>
      </c>
      <c r="N24" s="39">
        <f t="shared" si="0"/>
        <v>0.19410568514342552</v>
      </c>
      <c r="O24" s="39">
        <f t="shared" si="1"/>
        <v>0.17578166798807154</v>
      </c>
    </row>
    <row r="25" spans="2:15" x14ac:dyDescent="0.3">
      <c r="B25" t="s">
        <v>140</v>
      </c>
      <c r="C25" s="36">
        <f>IFERROR(C23*C24,0)</f>
        <v>0.12821349860992354</v>
      </c>
      <c r="D25" s="36">
        <f t="shared" ref="D25:L25" si="3">IFERROR(D23*D24,0)</f>
        <v>0</v>
      </c>
      <c r="E25" s="36">
        <f t="shared" si="3"/>
        <v>0.14397584846074357</v>
      </c>
      <c r="F25" s="36">
        <f t="shared" si="3"/>
        <v>3.5963064447154705E-2</v>
      </c>
      <c r="G25" s="36">
        <f t="shared" si="3"/>
        <v>7.796520489311129E-2</v>
      </c>
      <c r="H25" s="36">
        <f t="shared" si="3"/>
        <v>7.6371064531570151E-2</v>
      </c>
      <c r="I25" s="36">
        <f t="shared" si="3"/>
        <v>0</v>
      </c>
      <c r="J25" s="36">
        <f t="shared" si="3"/>
        <v>4.2774522377429298E-2</v>
      </c>
      <c r="K25" s="36">
        <f t="shared" si="3"/>
        <v>0.12121708857718019</v>
      </c>
      <c r="L25" s="36">
        <f t="shared" si="3"/>
        <v>2.9416267478908423E-2</v>
      </c>
      <c r="N25" s="39">
        <f t="shared" si="0"/>
        <v>5.9572793454499728E-2</v>
      </c>
      <c r="O25" s="39">
        <f t="shared" si="1"/>
        <v>6.5589655937602118E-2</v>
      </c>
    </row>
    <row r="26" spans="2:15" x14ac:dyDescent="0.3">
      <c r="B26" t="s">
        <v>141</v>
      </c>
      <c r="C26" s="37">
        <f>IFERROR(('Historical FS'!C16-'Historical FS'!C19)/'Historical FS'!C19,0)</f>
        <v>54.613061224489826</v>
      </c>
      <c r="D26" s="37">
        <f>IFERROR(('Historical FS'!D16-'Historical FS'!D19)/'Historical FS'!D19,0)</f>
        <v>50.876774712027853</v>
      </c>
      <c r="E26" s="37">
        <f>IFERROR(('Historical FS'!E16-'Historical FS'!E19)/'Historical FS'!E19,0)</f>
        <v>83.115505184470692</v>
      </c>
      <c r="F26" s="37">
        <f>IFERROR(('Historical FS'!F16-'Historical FS'!F19)/'Historical FS'!F19,0)</f>
        <v>27.771793247035404</v>
      </c>
      <c r="G26" s="37">
        <f>IFERROR(('Historical FS'!G16-'Historical FS'!G19)/'Historical FS'!G19,0)</f>
        <v>34.947620443662665</v>
      </c>
      <c r="H26" s="37">
        <f>IFERROR(('Historical FS'!H16-'Historical FS'!H19)/'Historical FS'!H19,0)</f>
        <v>49.97348030121141</v>
      </c>
      <c r="I26" s="37">
        <f>IFERROR(('Historical FS'!I16-'Historical FS'!I19)/'Historical FS'!I19,0)</f>
        <v>21.572791112042733</v>
      </c>
      <c r="J26" s="37">
        <f>IFERROR(('Historical FS'!J16-'Historical FS'!J19)/'Historical FS'!J19,0)</f>
        <v>38.047282796815487</v>
      </c>
      <c r="K26" s="37">
        <f>IFERROR(('Historical FS'!K16-'Historical FS'!K19)/'Historical FS'!K19,0)</f>
        <v>39.515572452112899</v>
      </c>
      <c r="L26" s="37">
        <f>IFERROR(('Historical FS'!L16-'Historical FS'!L19)/'Historical FS'!L19,0)</f>
        <v>23.650735618007229</v>
      </c>
      <c r="N26" s="39">
        <f t="shared" si="0"/>
        <v>38.781427624464193</v>
      </c>
      <c r="O26" s="39">
        <f t="shared" si="1"/>
        <v>42.40846170918762</v>
      </c>
    </row>
    <row r="27" spans="2:15" x14ac:dyDescent="0.3">
      <c r="N27" s="39"/>
      <c r="O27" s="39"/>
    </row>
    <row r="28" spans="2:15" x14ac:dyDescent="0.3">
      <c r="B28" t="s">
        <v>142</v>
      </c>
      <c r="C28" s="37">
        <f>IFERROR('Historical FS'!C5/'Historical FS'!C57,0)</f>
        <v>12.024780088301709</v>
      </c>
      <c r="D28" s="37">
        <f>IFERROR('Historical FS'!D5/'Historical FS'!D57,0)</f>
        <v>10.41199364025992</v>
      </c>
      <c r="E28" s="37">
        <f>IFERROR('Historical FS'!E5/'Historical FS'!E57,0)</f>
        <v>9.7216331624899599</v>
      </c>
      <c r="F28" s="37">
        <f>IFERROR('Historical FS'!F5/'Historical FS'!F57,0)</f>
        <v>10.08746782150965</v>
      </c>
      <c r="G28" s="37">
        <f>IFERROR('Historical FS'!G5/'Historical FS'!G57,0)</f>
        <v>11.258369447755706</v>
      </c>
      <c r="H28" s="37">
        <f>IFERROR('Historical FS'!H5/'Historical FS'!H57,0)</f>
        <v>8.3441089552181449</v>
      </c>
      <c r="I28" s="37">
        <f>IFERROR('Historical FS'!I5/'Historical FS'!I57,0)</f>
        <v>7.5169136032070751</v>
      </c>
      <c r="J28" s="37">
        <f>IFERROR('Historical FS'!J5/'Historical FS'!J57,0)</f>
        <v>7.4377908707035241</v>
      </c>
      <c r="K28" s="37">
        <f>IFERROR('Historical FS'!K5/'Historical FS'!K57,0)</f>
        <v>7.2600464302880932</v>
      </c>
      <c r="L28" s="37">
        <f>IFERROR('Historical FS'!L5/'Historical FS'!L57,0)</f>
        <v>7.8600767331610131</v>
      </c>
      <c r="N28" s="39">
        <f t="shared" si="0"/>
        <v>9.0328710588540524</v>
      </c>
      <c r="O28" s="39">
        <f t="shared" si="1"/>
        <v>9.1923180752894798</v>
      </c>
    </row>
    <row r="29" spans="2:15" x14ac:dyDescent="0.3">
      <c r="B29" t="s">
        <v>143</v>
      </c>
      <c r="C29" s="37">
        <f>IFERROR('Historical FS'!C5/'Historical FS'!C48,0)</f>
        <v>3.8458091254998759</v>
      </c>
      <c r="D29" s="37">
        <f>IFERROR('Historical FS'!D5/'Historical FS'!D48,0)</f>
        <v>3.5515520070927336</v>
      </c>
      <c r="E29" s="37">
        <f>IFERROR('Historical FS'!E5/'Historical FS'!E48,0)</f>
        <v>3.4907008975438916</v>
      </c>
      <c r="F29" s="37">
        <f>IFERROR('Historical FS'!F5/'Historical FS'!F48,0)</f>
        <v>3.5246789980746303</v>
      </c>
      <c r="G29" s="37">
        <f>IFERROR('Historical FS'!G5/'Historical FS'!G48,0)</f>
        <v>4.1337632508472559</v>
      </c>
      <c r="H29" s="37">
        <f>IFERROR('Historical FS'!H5/'Historical FS'!H48,0)</f>
        <v>3.3632319433451108</v>
      </c>
      <c r="I29" s="37">
        <f>IFERROR('Historical FS'!I5/'Historical FS'!I48,0)</f>
        <v>3.8493807531491444</v>
      </c>
      <c r="J29" s="37">
        <f>IFERROR('Historical FS'!J5/'Historical FS'!J48,0)</f>
        <v>4.3909450402827428</v>
      </c>
      <c r="K29" s="37">
        <f>IFERROR('Historical FS'!K5/'Historical FS'!K48,0)</f>
        <v>4.0807499117622381</v>
      </c>
      <c r="L29" s="37">
        <f>IFERROR('Historical FS'!L5/'Historical FS'!L48,0)</f>
        <v>3.9128716756201571</v>
      </c>
      <c r="N29" s="39">
        <f t="shared" si="0"/>
        <v>3.8475949393245101</v>
      </c>
      <c r="O29" s="39">
        <f t="shared" si="1"/>
        <v>3.8143683603217786</v>
      </c>
    </row>
    <row r="30" spans="2:15" x14ac:dyDescent="0.3">
      <c r="B30" t="s">
        <v>144</v>
      </c>
      <c r="C30" s="37">
        <f>IFERROR('Historical FS'!C5/'Historical FS'!C58,0)</f>
        <v>7.142029986388021</v>
      </c>
      <c r="D30" s="37">
        <f>IFERROR('Historical FS'!D5/'Historical FS'!D58,0)</f>
        <v>5.7336635020213631</v>
      </c>
      <c r="E30" s="37">
        <f>IFERROR('Historical FS'!E5/'Historical FS'!E58,0)</f>
        <v>6.3290398787199385</v>
      </c>
      <c r="F30" s="37">
        <f>IFERROR('Historical FS'!F5/'Historical FS'!F58,0)</f>
        <v>6.1082492555224679</v>
      </c>
      <c r="G30" s="37">
        <f>IFERROR('Historical FS'!G5/'Historical FS'!G58,0)</f>
        <v>5.9623548222466747</v>
      </c>
      <c r="H30" s="37">
        <f>IFERROR('Historical FS'!H5/'Historical FS'!H58,0)</f>
        <v>5.7159979992628864</v>
      </c>
      <c r="I30" s="37">
        <f>IFERROR('Historical FS'!I5/'Historical FS'!I58,0)</f>
        <v>4.7296236945350056</v>
      </c>
      <c r="J30" s="37">
        <f>IFERROR('Historical FS'!J5/'Historical FS'!J58,0)</f>
        <v>5.5531458915667296</v>
      </c>
      <c r="K30" s="37">
        <f>IFERROR('Historical FS'!K5/'Historical FS'!K58,0)</f>
        <v>5.9922797847861293</v>
      </c>
      <c r="L30" s="37">
        <f>IFERROR('Historical FS'!L5/'Historical FS'!L58,0)</f>
        <v>5.0460273214203326</v>
      </c>
      <c r="N30" s="39">
        <f t="shared" si="0"/>
        <v>5.8480091621340193</v>
      </c>
      <c r="O30" s="39">
        <f t="shared" si="1"/>
        <v>5.8312412136469547</v>
      </c>
    </row>
    <row r="31" spans="2:15" x14ac:dyDescent="0.3">
      <c r="B31" t="s">
        <v>145</v>
      </c>
      <c r="C31" s="37">
        <f>IFERROR('Historical FS'!C5/'Historical FS'!C51,0)</f>
        <v>4.1774086378737545</v>
      </c>
      <c r="D31" s="37">
        <f>IFERROR('Historical FS'!D5/'Historical FS'!D51,0)</f>
        <v>4.5590724451682032</v>
      </c>
      <c r="E31" s="37">
        <f>IFERROR('Historical FS'!E5/'Historical FS'!E51,0)</f>
        <v>4.50789606241828</v>
      </c>
      <c r="F31" s="37">
        <f>IFERROR('Historical FS'!F5/'Historical FS'!F51,0)</f>
        <v>2.9615873631583485</v>
      </c>
      <c r="G31" s="37">
        <f>IFERROR('Historical FS'!G5/'Historical FS'!G51,0)</f>
        <v>3.2222976861794139</v>
      </c>
      <c r="H31" s="37">
        <f>IFERROR('Historical FS'!H5/'Historical FS'!H51,0)</f>
        <v>3.7061903006220001</v>
      </c>
      <c r="I31" s="37">
        <f>IFERROR('Historical FS'!I5/'Historical FS'!I51,0)</f>
        <v>5.2728689305787571</v>
      </c>
      <c r="J31" s="37">
        <f>IFERROR('Historical FS'!J5/'Historical FS'!J51,0)</f>
        <v>5.9767488207179316</v>
      </c>
      <c r="K31" s="37">
        <f>IFERROR('Historical FS'!K5/'Historical FS'!K51,0)</f>
        <v>4.9666457710078333</v>
      </c>
      <c r="L31" s="37">
        <f>IFERROR('Historical FS'!L5/'Historical FS'!L51,0)</f>
        <v>3.6773592477305019</v>
      </c>
      <c r="N31" s="39">
        <f t="shared" si="0"/>
        <v>4.3426523501460172</v>
      </c>
      <c r="O31" s="39">
        <f t="shared" si="1"/>
        <v>4.3028075265455019</v>
      </c>
    </row>
    <row r="32" spans="2:15" x14ac:dyDescent="0.3">
      <c r="B32" t="s">
        <v>146</v>
      </c>
      <c r="C32" s="37">
        <f>IFERROR('Historical FS'!C5/SUM('Historical FS'!C45:C47),0)</f>
        <v>2.0840041996988949</v>
      </c>
      <c r="D32" s="37">
        <f>IFERROR('Historical FS'!D5/SUM('Historical FS'!D45:D47),0)</f>
        <v>1.8448757568074392</v>
      </c>
      <c r="E32" s="37">
        <f>IFERROR('Historical FS'!E5/SUM('Historical FS'!E45:E47),0)</f>
        <v>1.8811705722265828</v>
      </c>
      <c r="F32" s="37">
        <f>IFERROR('Historical FS'!F5/SUM('Historical FS'!F45:F47),0)</f>
        <v>1.7831197898082976</v>
      </c>
      <c r="G32" s="37">
        <f>IFERROR('Historical FS'!G5/SUM('Historical FS'!G45:G47),0)</f>
        <v>1.7967695707755413</v>
      </c>
      <c r="H32" s="37">
        <f>IFERROR('Historical FS'!H5/SUM('Historical FS'!H45:H47),0)</f>
        <v>1.5621375295785938</v>
      </c>
      <c r="I32" s="37">
        <f>IFERROR('Historical FS'!I5/SUM('Historical FS'!I45:I47),0)</f>
        <v>1.8898849493844831</v>
      </c>
      <c r="J32" s="37">
        <f>IFERROR('Historical FS'!J5/SUM('Historical FS'!J45:J47),0)</f>
        <v>1.9240657522936035</v>
      </c>
      <c r="K32" s="37">
        <f>IFERROR('Historical FS'!K5/SUM('Historical FS'!K45:K47),0)</f>
        <v>1.6740680895056663</v>
      </c>
      <c r="L32" s="37">
        <f>IFERROR('Historical FS'!L5/SUM('Historical FS'!L45:L47),0)</f>
        <v>1.5631841254766001</v>
      </c>
      <c r="N32" s="39">
        <f t="shared" si="0"/>
        <v>1.8208226637914904</v>
      </c>
      <c r="O32" s="39">
        <f t="shared" si="1"/>
        <v>1.80032803355557</v>
      </c>
    </row>
    <row r="33" spans="2:15" x14ac:dyDescent="0.3">
      <c r="N33" s="39"/>
      <c r="O33" s="39"/>
    </row>
    <row r="34" spans="2:15" x14ac:dyDescent="0.3">
      <c r="B34" s="38"/>
      <c r="N34" s="39"/>
      <c r="O34" s="39"/>
    </row>
    <row r="35" spans="2:15" x14ac:dyDescent="0.3">
      <c r="B35" t="s">
        <v>147</v>
      </c>
      <c r="C35" s="39">
        <f>IFERROR(365/C28,0)</f>
        <v>30.353985463325834</v>
      </c>
      <c r="D35" s="39">
        <f t="shared" ref="D35:L35" si="4">IFERROR(365/D28,0)</f>
        <v>35.055726368162503</v>
      </c>
      <c r="E35" s="39">
        <f t="shared" si="4"/>
        <v>37.545131964896534</v>
      </c>
      <c r="F35" s="39">
        <f t="shared" si="4"/>
        <v>36.183510714324697</v>
      </c>
      <c r="G35" s="39">
        <f t="shared" si="4"/>
        <v>32.420325313872226</v>
      </c>
      <c r="H35" s="39">
        <f t="shared" si="4"/>
        <v>43.743436472235949</v>
      </c>
      <c r="I35" s="39">
        <f t="shared" si="4"/>
        <v>48.557163121347244</v>
      </c>
      <c r="J35" s="39">
        <f t="shared" si="4"/>
        <v>49.073711044725229</v>
      </c>
      <c r="K35" s="39">
        <f t="shared" si="4"/>
        <v>50.275160566089667</v>
      </c>
      <c r="L35" s="39">
        <f t="shared" si="4"/>
        <v>46.437205690384069</v>
      </c>
      <c r="N35" s="39">
        <f t="shared" si="0"/>
        <v>40.644284218566241</v>
      </c>
      <c r="O35" s="39">
        <f t="shared" si="1"/>
        <v>40.964535671936389</v>
      </c>
    </row>
    <row r="36" spans="2:15" x14ac:dyDescent="0.3">
      <c r="B36" t="s">
        <v>148</v>
      </c>
      <c r="C36" s="39">
        <f>IFERROR(365/C29,0)</f>
        <v>94.908506399822301</v>
      </c>
      <c r="D36" s="39">
        <f t="shared" ref="D36:L36" si="5">IFERROR(365/D29,0)</f>
        <v>102.77197103437196</v>
      </c>
      <c r="E36" s="39">
        <f t="shared" si="5"/>
        <v>104.56352770207822</v>
      </c>
      <c r="F36" s="39">
        <f t="shared" si="5"/>
        <v>103.55552951045547</v>
      </c>
      <c r="G36" s="39">
        <f t="shared" si="5"/>
        <v>88.297267610860303</v>
      </c>
      <c r="H36" s="39">
        <f t="shared" si="5"/>
        <v>108.52656199410578</v>
      </c>
      <c r="I36" s="39">
        <f t="shared" si="5"/>
        <v>94.820446042235943</v>
      </c>
      <c r="J36" s="39">
        <f t="shared" si="5"/>
        <v>83.125613427513272</v>
      </c>
      <c r="K36" s="39">
        <f t="shared" si="5"/>
        <v>89.444344273079395</v>
      </c>
      <c r="L36" s="39">
        <f t="shared" si="5"/>
        <v>93.281873329554202</v>
      </c>
      <c r="N36" s="39">
        <f t="shared" si="0"/>
        <v>94.864476221029122</v>
      </c>
      <c r="O36" s="39">
        <f t="shared" si="1"/>
        <v>96.329564132407683</v>
      </c>
    </row>
    <row r="37" spans="2:15" x14ac:dyDescent="0.3">
      <c r="B37" t="s">
        <v>149</v>
      </c>
      <c r="C37" s="39">
        <f>IFERROR(365/C30,0)</f>
        <v>51.105918162714616</v>
      </c>
      <c r="D37" s="39">
        <f t="shared" ref="D37:L37" si="6">IFERROR(365/D30,0)</f>
        <v>63.659124723891068</v>
      </c>
      <c r="E37" s="39">
        <f t="shared" si="6"/>
        <v>57.670674698580349</v>
      </c>
      <c r="F37" s="39">
        <f t="shared" si="6"/>
        <v>59.755256331428114</v>
      </c>
      <c r="G37" s="39">
        <f t="shared" si="6"/>
        <v>61.217423464654587</v>
      </c>
      <c r="H37" s="39">
        <f t="shared" si="6"/>
        <v>63.855865598110604</v>
      </c>
      <c r="I37" s="39">
        <f t="shared" si="6"/>
        <v>77.173158706421162</v>
      </c>
      <c r="J37" s="39">
        <f t="shared" si="6"/>
        <v>65.728509051834251</v>
      </c>
      <c r="K37" s="39">
        <f t="shared" si="6"/>
        <v>60.911708583217838</v>
      </c>
      <c r="L37" s="39">
        <f t="shared" si="6"/>
        <v>72.334130742926988</v>
      </c>
      <c r="N37" s="39">
        <f t="shared" si="0"/>
        <v>62.438274094272828</v>
      </c>
      <c r="O37" s="39">
        <f t="shared" si="1"/>
        <v>63.341177006377947</v>
      </c>
    </row>
    <row r="38" spans="2:15" x14ac:dyDescent="0.3">
      <c r="B38" t="s">
        <v>153</v>
      </c>
      <c r="C38" s="39">
        <f>IFERROR(SUM(C35,C37)-C36,0)</f>
        <v>-13.448602773781857</v>
      </c>
      <c r="D38" s="39">
        <f t="shared" ref="D38:L38" si="7">IFERROR(SUM(D35,D37)-D36,0)</f>
        <v>-4.0571199423183799</v>
      </c>
      <c r="E38" s="39">
        <f t="shared" si="7"/>
        <v>-9.3477210386013354</v>
      </c>
      <c r="F38" s="39">
        <f t="shared" si="7"/>
        <v>-7.6167624647026599</v>
      </c>
      <c r="G38" s="39">
        <f t="shared" si="7"/>
        <v>5.3404811676665105</v>
      </c>
      <c r="H38" s="39">
        <f t="shared" si="7"/>
        <v>-0.92725992375922317</v>
      </c>
      <c r="I38" s="39">
        <f t="shared" si="7"/>
        <v>30.909875785532464</v>
      </c>
      <c r="J38" s="39">
        <f t="shared" si="7"/>
        <v>31.676606669046208</v>
      </c>
      <c r="K38" s="39">
        <f t="shared" si="7"/>
        <v>21.742524876228117</v>
      </c>
      <c r="L38" s="39">
        <f t="shared" si="7"/>
        <v>25.489463103756862</v>
      </c>
      <c r="N38" s="39">
        <f>MEDIAN(C38:L38)</f>
        <v>2.2066106219536437</v>
      </c>
      <c r="O38" s="39">
        <f t="shared" si="1"/>
        <v>7.9761485459066703</v>
      </c>
    </row>
    <row r="39" spans="2:15" x14ac:dyDescent="0.3">
      <c r="N39" s="39"/>
      <c r="O39" s="39"/>
    </row>
    <row r="40" spans="2:15" x14ac:dyDescent="0.3">
      <c r="B40" t="s">
        <v>150</v>
      </c>
      <c r="C40">
        <f>IFERROR('Historical FS'!C76/'Historical FS'!C5,0)</f>
        <v>0.1348843043017933</v>
      </c>
      <c r="D40">
        <f>IFERROR('Historical FS'!D76/'Historical FS'!D5,0)</f>
        <v>9.0359905961961209E-2</v>
      </c>
      <c r="E40">
        <f>IFERROR('Historical FS'!E76/'Historical FS'!E5,0)</f>
        <v>0.24886252529785344</v>
      </c>
      <c r="F40">
        <f>IFERROR('Historical FS'!F76/'Historical FS'!F5,0)</f>
        <v>0.34308499994542657</v>
      </c>
      <c r="G40">
        <f>IFERROR('Historical FS'!G76/'Historical FS'!G5,0)</f>
        <v>-0.16114787556435153</v>
      </c>
      <c r="H40">
        <f>IFERROR('Historical FS'!H76/'Historical FS'!H5,0)</f>
        <v>0.52798373677450017</v>
      </c>
      <c r="I40">
        <f>IFERROR('Historical FS'!I76/'Historical FS'!I5,0)</f>
        <v>0.27613905642638398</v>
      </c>
      <c r="J40">
        <f>IFERROR('Historical FS'!J76/'Historical FS'!J5,0)</f>
        <v>0.13653791007402741</v>
      </c>
      <c r="K40">
        <f>IFERROR('Historical FS'!K76/'Historical FS'!K5,0)</f>
        <v>0.2548829079697183</v>
      </c>
      <c r="L40">
        <f>IFERROR('Historical FS'!L76/'Historical FS'!L5,0)</f>
        <v>0.32345670127843112</v>
      </c>
      <c r="N40" s="39">
        <f t="shared" ref="N40:N42" si="8">MEDIAN(C40:L40)</f>
        <v>0.25187271663378585</v>
      </c>
      <c r="O40" s="39">
        <f t="shared" si="1"/>
        <v>0.21750441724657441</v>
      </c>
    </row>
    <row r="41" spans="2:15" x14ac:dyDescent="0.3">
      <c r="B41" t="s">
        <v>151</v>
      </c>
      <c r="C41">
        <f>IFERROR('Historical FS'!C76/'Historical FS'!C62,0)</f>
        <v>0.18230841279928178</v>
      </c>
      <c r="D41">
        <f>IFERROR('Historical FS'!D76/'Historical FS'!D62,0)</f>
        <v>0.10971214467493043</v>
      </c>
      <c r="E41">
        <f>IFERROR('Historical FS'!E76/'Historical FS'!E62,0)</f>
        <v>0.30421085365038492</v>
      </c>
      <c r="F41">
        <f>IFERROR('Historical FS'!F76/'Historical FS'!F62,0)</f>
        <v>0.40624438421450393</v>
      </c>
      <c r="G41">
        <f>IFERROR('Historical FS'!G76/'Historical FS'!G62,0)</f>
        <v>-0.20182216226700134</v>
      </c>
      <c r="H41">
        <f>IFERROR('Historical FS'!H76/'Historical FS'!H62,0)</f>
        <v>0.56319373687690799</v>
      </c>
      <c r="I41">
        <f>IFERROR('Historical FS'!I76/'Historical FS'!I62,0)</f>
        <v>0.3500239345634697</v>
      </c>
      <c r="J41">
        <f>IFERROR('Historical FS'!J76/'Historical FS'!J62,0)</f>
        <v>0.1826657248268283</v>
      </c>
      <c r="K41">
        <f>IFERROR('Historical FS'!K76/'Historical FS'!K62,0)</f>
        <v>0.30256745896510351</v>
      </c>
      <c r="L41">
        <f>IFERROR('Historical FS'!L76/'Historical FS'!L62,0)</f>
        <v>0.36128840974790194</v>
      </c>
      <c r="N41" s="39">
        <f t="shared" si="8"/>
        <v>0.30338915630774421</v>
      </c>
      <c r="O41" s="39">
        <f t="shared" si="1"/>
        <v>0.25603928980523111</v>
      </c>
    </row>
    <row r="42" spans="2:15" x14ac:dyDescent="0.3">
      <c r="B42" t="s">
        <v>152</v>
      </c>
      <c r="C42">
        <f>IFERROR('Historical FS'!C76/'Historical FS'!C47,0)</f>
        <v>5.9544062606328678</v>
      </c>
      <c r="D42">
        <f>IFERROR('Historical FS'!D76/'Historical FS'!D47,0)</f>
        <v>2.428882464218153</v>
      </c>
      <c r="E42">
        <f>IFERROR('Historical FS'!E76/'Historical FS'!E47,0)</f>
        <v>7.8492023320773114</v>
      </c>
      <c r="F42">
        <f>IFERROR('Historical FS'!F76/'Historical FS'!F47,0)</f>
        <v>5.0022734161867239</v>
      </c>
      <c r="G42">
        <f>IFERROR('Historical FS'!G76/'Historical FS'!G47,0)</f>
        <v>-2.9119356280733126</v>
      </c>
      <c r="H42">
        <f>IFERROR('Historical FS'!H76/'Historical FS'!H47,0)</f>
        <v>10.48741217798595</v>
      </c>
      <c r="I42">
        <f>IFERROR('Historical FS'!I76/'Historical FS'!I47,0)</f>
        <v>5.0640250050413389</v>
      </c>
      <c r="J42">
        <f>IFERROR('Historical FS'!J76/'Historical FS'!J47,0)</f>
        <v>2.4365886723722201</v>
      </c>
      <c r="K42">
        <f>IFERROR('Historical FS'!K76/'Historical FS'!K47,0)</f>
        <v>3.6562694493165964</v>
      </c>
      <c r="L42">
        <f>IFERROR('Historical FS'!L76/'Historical FS'!L47,0)</f>
        <v>4.7884765684694948</v>
      </c>
      <c r="N42" s="39">
        <f t="shared" si="8"/>
        <v>4.8953749923281098</v>
      </c>
      <c r="O42" s="39">
        <f t="shared" si="1"/>
        <v>4.4755600718227342</v>
      </c>
    </row>
  </sheetData>
  <mergeCells count="1">
    <mergeCell ref="B2:O2"/>
  </mergeCells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negative="1" xr2:uid="{02180709-BB5B-4795-9468-8A38AD994D02}">
          <x14:colorSeries rgb="FF002060"/>
          <x14:colorNegative theme="1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'Ratio analysis'!D4:L4</xm:f>
              <xm:sqref>M4</xm:sqref>
            </x14:sparkline>
            <x14:sparkline>
              <xm:f>'Ratio analysis'!D5:L5</xm:f>
              <xm:sqref>M5</xm:sqref>
            </x14:sparkline>
            <x14:sparkline>
              <xm:f>'Ratio analysis'!D6:L6</xm:f>
              <xm:sqref>M6</xm:sqref>
            </x14:sparkline>
            <x14:sparkline>
              <xm:f>'Ratio analysis'!D7:L7</xm:f>
              <xm:sqref>M7</xm:sqref>
            </x14:sparkline>
            <x14:sparkline>
              <xm:f>'Ratio analysis'!D8:L8</xm:f>
              <xm:sqref>M8</xm:sqref>
            </x14:sparkline>
            <x14:sparkline>
              <xm:f>'Ratio analysis'!D9:L9</xm:f>
              <xm:sqref>M9</xm:sqref>
            </x14:sparkline>
            <x14:sparkline>
              <xm:f>'Ratio analysis'!D10:L10</xm:f>
              <xm:sqref>M10</xm:sqref>
            </x14:sparkline>
            <x14:sparkline>
              <xm:f>'Ratio analysis'!D11:L11</xm:f>
              <xm:sqref>M11</xm:sqref>
            </x14:sparkline>
            <x14:sparkline>
              <xm:f>'Ratio analysis'!D12:L12</xm:f>
              <xm:sqref>M12</xm:sqref>
            </x14:sparkline>
            <x14:sparkline>
              <xm:f>'Ratio analysis'!D13:L13</xm:f>
              <xm:sqref>M13</xm:sqref>
            </x14:sparkline>
            <x14:sparkline>
              <xm:f>'Ratio analysis'!D14:L14</xm:f>
              <xm:sqref>M14</xm:sqref>
            </x14:sparkline>
            <x14:sparkline>
              <xm:f>'Ratio analysis'!D15:L15</xm:f>
              <xm:sqref>M15</xm:sqref>
            </x14:sparkline>
            <x14:sparkline>
              <xm:f>'Ratio analysis'!D16:L16</xm:f>
              <xm:sqref>M16</xm:sqref>
            </x14:sparkline>
            <x14:sparkline>
              <xm:f>'Ratio analysis'!D17:L17</xm:f>
              <xm:sqref>M17</xm:sqref>
            </x14:sparkline>
            <x14:sparkline>
              <xm:f>'Ratio analysis'!D18:L18</xm:f>
              <xm:sqref>M18</xm:sqref>
            </x14:sparkline>
            <x14:sparkline>
              <xm:f>'Ratio analysis'!D19:L19</xm:f>
              <xm:sqref>M19</xm:sqref>
            </x14:sparkline>
            <x14:sparkline>
              <xm:f>'Ratio analysis'!D20:L20</xm:f>
              <xm:sqref>M20</xm:sqref>
            </x14:sparkline>
            <x14:sparkline>
              <xm:f>'Ratio analysis'!D21:L21</xm:f>
              <xm:sqref>M21</xm:sqref>
            </x14:sparkline>
            <x14:sparkline>
              <xm:f>'Ratio analysis'!D22:L22</xm:f>
              <xm:sqref>M22</xm:sqref>
            </x14:sparkline>
            <x14:sparkline>
              <xm:f>'Ratio analysis'!D23:L23</xm:f>
              <xm:sqref>M23</xm:sqref>
            </x14:sparkline>
            <x14:sparkline>
              <xm:f>'Ratio analysis'!D24:L24</xm:f>
              <xm:sqref>M24</xm:sqref>
            </x14:sparkline>
            <x14:sparkline>
              <xm:f>'Ratio analysis'!D25:L25</xm:f>
              <xm:sqref>M25</xm:sqref>
            </x14:sparkline>
            <x14:sparkline>
              <xm:f>'Ratio analysis'!D26:L26</xm:f>
              <xm:sqref>M26</xm:sqref>
            </x14:sparkline>
            <x14:sparkline>
              <xm:f>'Ratio analysis'!D27:L27</xm:f>
              <xm:sqref>M27</xm:sqref>
            </x14:sparkline>
            <x14:sparkline>
              <xm:f>'Ratio analysis'!D28:L28</xm:f>
              <xm:sqref>M28</xm:sqref>
            </x14:sparkline>
            <x14:sparkline>
              <xm:f>'Ratio analysis'!D29:L29</xm:f>
              <xm:sqref>M29</xm:sqref>
            </x14:sparkline>
            <x14:sparkline>
              <xm:f>'Ratio analysis'!D30:L30</xm:f>
              <xm:sqref>M30</xm:sqref>
            </x14:sparkline>
            <x14:sparkline>
              <xm:f>'Ratio analysis'!D31:L31</xm:f>
              <xm:sqref>M31</xm:sqref>
            </x14:sparkline>
            <x14:sparkline>
              <xm:f>'Ratio analysis'!D32:L32</xm:f>
              <xm:sqref>M32</xm:sqref>
            </x14:sparkline>
            <x14:sparkline>
              <xm:f>'Ratio analysis'!D33:L33</xm:f>
              <xm:sqref>M33</xm:sqref>
            </x14:sparkline>
            <x14:sparkline>
              <xm:f>'Ratio analysis'!D34:L34</xm:f>
              <xm:sqref>M34</xm:sqref>
            </x14:sparkline>
            <x14:sparkline>
              <xm:f>'Ratio analysis'!D35:L35</xm:f>
              <xm:sqref>M35</xm:sqref>
            </x14:sparkline>
            <x14:sparkline>
              <xm:f>'Ratio analysis'!D36:L36</xm:f>
              <xm:sqref>M36</xm:sqref>
            </x14:sparkline>
            <x14:sparkline>
              <xm:f>'Ratio analysis'!D37:L37</xm:f>
              <xm:sqref>M37</xm:sqref>
            </x14:sparkline>
            <x14:sparkline>
              <xm:f>'Ratio analysis'!D38:L38</xm:f>
              <xm:sqref>M38</xm:sqref>
            </x14:sparkline>
            <x14:sparkline>
              <xm:f>'Ratio analysis'!D39:L39</xm:f>
              <xm:sqref>M39</xm:sqref>
            </x14:sparkline>
            <x14:sparkline>
              <xm:f>'Ratio analysis'!D40:L40</xm:f>
              <xm:sqref>M40</xm:sqref>
            </x14:sparkline>
            <x14:sparkline>
              <xm:f>'Ratio analysis'!D41:L41</xm:f>
              <xm:sqref>M41</xm:sqref>
            </x14:sparkline>
            <x14:sparkline>
              <xm:f>'Ratio analysis'!D42:L42</xm:f>
              <xm:sqref>M42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8393E-7ECC-46F4-A3ED-5E68A08EC7D1}">
  <dimension ref="B2:K20"/>
  <sheetViews>
    <sheetView showGridLines="0" workbookViewId="0">
      <selection activeCell="G24" sqref="G24"/>
    </sheetView>
  </sheetViews>
  <sheetFormatPr defaultRowHeight="14.4" x14ac:dyDescent="0.3"/>
  <cols>
    <col min="1" max="1" width="1.88671875" customWidth="1"/>
    <col min="2" max="2" width="11.6640625" customWidth="1"/>
    <col min="5" max="5" width="13.77734375" customWidth="1"/>
    <col min="8" max="8" width="11.33203125" customWidth="1"/>
    <col min="11" max="11" width="13.77734375" customWidth="1"/>
  </cols>
  <sheetData>
    <row r="2" spans="2:11" x14ac:dyDescent="0.3">
      <c r="B2" s="85" t="str">
        <f>'Data Sheet'!B1&amp;" - "&amp;'Data Sheet'!A17</f>
        <v>ASIAN PAINTS LTD - Sales</v>
      </c>
      <c r="C2" s="85"/>
      <c r="D2" s="85"/>
      <c r="E2" s="85"/>
      <c r="H2" s="85" t="str">
        <f>'Data Sheet'!B1&amp;" - "&amp;'Historical FS'!B16</f>
        <v>ASIAN PAINTS LTD - EBIDTA</v>
      </c>
      <c r="I2" s="85"/>
      <c r="J2" s="85"/>
      <c r="K2" s="85"/>
    </row>
    <row r="3" spans="2:11" x14ac:dyDescent="0.3">
      <c r="B3" s="15" t="s">
        <v>157</v>
      </c>
      <c r="C3" s="17" t="s">
        <v>158</v>
      </c>
      <c r="D3" s="17" t="s">
        <v>1</v>
      </c>
      <c r="E3" s="17" t="s">
        <v>159</v>
      </c>
      <c r="H3" s="15" t="s">
        <v>157</v>
      </c>
      <c r="I3" s="17" t="s">
        <v>158</v>
      </c>
      <c r="J3" s="17" t="s">
        <v>64</v>
      </c>
      <c r="K3" s="17" t="s">
        <v>160</v>
      </c>
    </row>
    <row r="4" spans="2:11" x14ac:dyDescent="0.3">
      <c r="B4">
        <f>1</f>
        <v>1</v>
      </c>
      <c r="C4" s="41">
        <f>'Data Sheet'!B16</f>
        <v>42460</v>
      </c>
      <c r="D4" cm="1">
        <f t="array" ref="D4:D13">TRANSPOSE('Data Sheet'!B17:K17)</f>
        <v>14271.49</v>
      </c>
      <c r="H4">
        <f>1</f>
        <v>1</v>
      </c>
      <c r="I4" s="42">
        <f>'Data Sheet'!B16</f>
        <v>42460</v>
      </c>
      <c r="J4" cm="1">
        <f t="array" ref="J4:J13">TRANSPOSE('Historical FS'!C16:L16)</f>
        <v>2725.0400000000013</v>
      </c>
    </row>
    <row r="5" spans="2:11" x14ac:dyDescent="0.3">
      <c r="B5">
        <f>B4+1</f>
        <v>2</v>
      </c>
      <c r="C5" s="41">
        <f>C4+365</f>
        <v>42825</v>
      </c>
      <c r="D5">
        <v>269692.51</v>
      </c>
      <c r="E5" s="4">
        <f>(D5-D4)/D4</f>
        <v>17.897291733378928</v>
      </c>
      <c r="H5">
        <f>H4+1</f>
        <v>2</v>
      </c>
      <c r="I5" s="42">
        <f>I4+365</f>
        <v>42825</v>
      </c>
      <c r="J5">
        <v>1936.5599999999995</v>
      </c>
      <c r="K5" s="4">
        <f>(J5-J4)/J4</f>
        <v>-0.28934621143175931</v>
      </c>
    </row>
    <row r="6" spans="2:11" x14ac:dyDescent="0.3">
      <c r="B6">
        <f t="shared" ref="B6:B18" si="0">B5+1</f>
        <v>3</v>
      </c>
      <c r="C6" s="41">
        <f t="shared" ref="C6:C18" si="1">C5+365</f>
        <v>43190</v>
      </c>
      <c r="D6">
        <v>291550.48</v>
      </c>
      <c r="E6" s="4">
        <f t="shared" ref="E6:E18" si="2">(D6-D5)/D5</f>
        <v>8.1047745819859698E-2</v>
      </c>
      <c r="H6">
        <f t="shared" ref="H6" si="3">H5+1</f>
        <v>3</v>
      </c>
      <c r="I6" s="42">
        <f t="shared" ref="I6:I18" si="4">I5+365</f>
        <v>43190</v>
      </c>
      <c r="J6">
        <v>3488.2699999999995</v>
      </c>
      <c r="K6" s="4">
        <f t="shared" ref="K6:K18" si="5">(J6-J5)/J5</f>
        <v>0.80127132647581301</v>
      </c>
    </row>
    <row r="7" spans="2:11" x14ac:dyDescent="0.3">
      <c r="B7">
        <f t="shared" si="0"/>
        <v>4</v>
      </c>
      <c r="C7" s="41">
        <f t="shared" si="1"/>
        <v>43555</v>
      </c>
      <c r="D7">
        <v>301938.40000000002</v>
      </c>
      <c r="E7" s="4">
        <f t="shared" si="2"/>
        <v>3.5629919045237185E-2</v>
      </c>
      <c r="H7">
        <f t="shared" ref="H7" si="6">H6+1</f>
        <v>4</v>
      </c>
      <c r="I7" s="42">
        <f t="shared" si="4"/>
        <v>43555</v>
      </c>
      <c r="J7">
        <v>3178.420000000001</v>
      </c>
      <c r="K7" s="4">
        <f t="shared" si="5"/>
        <v>-8.8826266315393754E-2</v>
      </c>
    </row>
    <row r="8" spans="2:11" x14ac:dyDescent="0.3">
      <c r="B8">
        <f t="shared" si="0"/>
        <v>5</v>
      </c>
      <c r="C8" s="41">
        <f t="shared" si="1"/>
        <v>43920</v>
      </c>
      <c r="D8">
        <v>261067.97</v>
      </c>
      <c r="E8" s="4">
        <f t="shared" si="2"/>
        <v>-0.135360159555724</v>
      </c>
      <c r="H8">
        <f t="shared" ref="H8" si="7">H7+1</f>
        <v>5</v>
      </c>
      <c r="I8" s="42">
        <f t="shared" si="4"/>
        <v>43920</v>
      </c>
      <c r="J8">
        <v>3678.52</v>
      </c>
      <c r="K8" s="4">
        <f t="shared" si="5"/>
        <v>0.15734232731986297</v>
      </c>
    </row>
    <row r="9" spans="2:11" x14ac:dyDescent="0.3">
      <c r="B9">
        <f t="shared" si="0"/>
        <v>6</v>
      </c>
      <c r="C9" s="41">
        <f t="shared" si="1"/>
        <v>44285</v>
      </c>
      <c r="D9">
        <v>249794.75</v>
      </c>
      <c r="E9" s="4">
        <f t="shared" si="2"/>
        <v>-4.3181168490336062E-2</v>
      </c>
      <c r="H9">
        <f t="shared" ref="H9" si="8">H8+1</f>
        <v>6</v>
      </c>
      <c r="I9" s="42">
        <f t="shared" si="4"/>
        <v>44285</v>
      </c>
      <c r="J9">
        <v>4670.7000000000016</v>
      </c>
      <c r="K9" s="4">
        <f t="shared" si="5"/>
        <v>0.26972260583060625</v>
      </c>
    </row>
    <row r="10" spans="2:11" x14ac:dyDescent="0.3">
      <c r="B10">
        <f t="shared" si="0"/>
        <v>7</v>
      </c>
      <c r="C10" s="41">
        <f t="shared" si="1"/>
        <v>44650</v>
      </c>
      <c r="D10">
        <v>278453.62</v>
      </c>
      <c r="E10" s="4">
        <f t="shared" si="2"/>
        <v>0.11472967306158355</v>
      </c>
      <c r="H10">
        <f t="shared" ref="H10" si="9">H9+1</f>
        <v>7</v>
      </c>
      <c r="I10" s="42">
        <f t="shared" si="4"/>
        <v>44650</v>
      </c>
      <c r="J10">
        <v>2153.6699999999969</v>
      </c>
      <c r="K10" s="4">
        <f t="shared" si="5"/>
        <v>-0.53889780975014534</v>
      </c>
    </row>
    <row r="11" spans="2:11" x14ac:dyDescent="0.3">
      <c r="B11">
        <f t="shared" si="0"/>
        <v>8</v>
      </c>
      <c r="C11" s="41">
        <f t="shared" si="1"/>
        <v>45015</v>
      </c>
      <c r="D11">
        <v>345966.97</v>
      </c>
      <c r="E11" s="4">
        <f t="shared" si="2"/>
        <v>0.24245815155859701</v>
      </c>
      <c r="H11">
        <f t="shared" ref="H11" si="10">H10+1</f>
        <v>8</v>
      </c>
      <c r="I11" s="42">
        <f t="shared" si="4"/>
        <v>45015</v>
      </c>
      <c r="J11">
        <v>5640.3799999999965</v>
      </c>
      <c r="K11" s="4">
        <f t="shared" si="5"/>
        <v>1.6189620508248732</v>
      </c>
    </row>
    <row r="12" spans="2:11" x14ac:dyDescent="0.3">
      <c r="B12">
        <f t="shared" si="0"/>
        <v>9</v>
      </c>
      <c r="C12" s="41">
        <f t="shared" si="1"/>
        <v>45380</v>
      </c>
      <c r="D12">
        <v>434016</v>
      </c>
      <c r="E12" s="4">
        <f t="shared" si="2"/>
        <v>0.25450126062612288</v>
      </c>
      <c r="H12">
        <f t="shared" ref="H12" si="11">H11+1</f>
        <v>9</v>
      </c>
      <c r="I12" s="42">
        <f t="shared" si="4"/>
        <v>45380</v>
      </c>
      <c r="J12">
        <v>8312.5800000000036</v>
      </c>
      <c r="K12" s="4">
        <f t="shared" si="5"/>
        <v>0.47376240607902459</v>
      </c>
    </row>
    <row r="13" spans="2:11" x14ac:dyDescent="0.3">
      <c r="B13">
        <f t="shared" si="0"/>
        <v>10</v>
      </c>
      <c r="C13" s="41">
        <f t="shared" si="1"/>
        <v>45745</v>
      </c>
      <c r="D13">
        <v>439695</v>
      </c>
      <c r="E13" s="4">
        <f t="shared" si="2"/>
        <v>1.3084771068347711E-2</v>
      </c>
      <c r="H13">
        <f t="shared" ref="H13" si="12">H12+1</f>
        <v>10</v>
      </c>
      <c r="I13" s="42">
        <f t="shared" si="4"/>
        <v>45745</v>
      </c>
      <c r="J13">
        <v>5596.2100000000019</v>
      </c>
      <c r="K13" s="4">
        <f t="shared" si="5"/>
        <v>-0.32677820845032474</v>
      </c>
    </row>
    <row r="14" spans="2:11" x14ac:dyDescent="0.3">
      <c r="B14" s="43">
        <f t="shared" si="0"/>
        <v>11</v>
      </c>
      <c r="C14" s="44">
        <f t="shared" si="1"/>
        <v>46110</v>
      </c>
      <c r="D14" s="43">
        <f>_xlfn.FORECAST.LINEAR(B14,_xlfn.ANCHORARRAY($D$4),$B$4:$B$13)</f>
        <v>460959.08266666671</v>
      </c>
      <c r="E14" s="45">
        <f t="shared" si="2"/>
        <v>4.8360983560574292E-2</v>
      </c>
      <c r="H14" s="43">
        <f t="shared" ref="H14" si="13">H13+1</f>
        <v>11</v>
      </c>
      <c r="I14" s="46">
        <f t="shared" si="4"/>
        <v>46110</v>
      </c>
      <c r="J14" s="43">
        <f>_xlfn.FORECAST.LINEAR(H14,_xlfn.ANCHORARRAY($J$4),$H$4:$H$13)</f>
        <v>6776.4066666666658</v>
      </c>
      <c r="K14" s="45">
        <f t="shared" si="5"/>
        <v>0.2108921335451428</v>
      </c>
    </row>
    <row r="15" spans="2:11" x14ac:dyDescent="0.3">
      <c r="B15" s="43">
        <f t="shared" si="0"/>
        <v>12</v>
      </c>
      <c r="C15" s="44">
        <f t="shared" si="1"/>
        <v>46475</v>
      </c>
      <c r="D15" s="43">
        <f t="shared" ref="D15:D18" si="14">_xlfn.FORECAST.LINEAR(B15,_xlfn.ANCHORARRAY($D$4),$B$4:$B$13)</f>
        <v>492288.96696969704</v>
      </c>
      <c r="E15" s="45">
        <f t="shared" si="2"/>
        <v>6.7966736053416479E-2</v>
      </c>
      <c r="H15" s="43">
        <f t="shared" ref="H15" si="15">H14+1</f>
        <v>12</v>
      </c>
      <c r="I15" s="46">
        <f t="shared" si="4"/>
        <v>46475</v>
      </c>
      <c r="J15" s="43">
        <f t="shared" ref="J15:J18" si="16">_xlfn.FORECAST.LINEAR(H15,_xlfn.ANCHORARRAY($J$4),$H$4:$H$13)</f>
        <v>7256.1106060606053</v>
      </c>
      <c r="K15" s="45">
        <f t="shared" si="5"/>
        <v>7.0790311590007801E-2</v>
      </c>
    </row>
    <row r="16" spans="2:11" x14ac:dyDescent="0.3">
      <c r="B16" s="43">
        <f t="shared" si="0"/>
        <v>13</v>
      </c>
      <c r="C16" s="44">
        <f t="shared" si="1"/>
        <v>46840</v>
      </c>
      <c r="D16" s="43">
        <f t="shared" si="14"/>
        <v>523618.8512727273</v>
      </c>
      <c r="E16" s="45">
        <f t="shared" si="2"/>
        <v>6.3641248139040221E-2</v>
      </c>
      <c r="H16" s="43">
        <f t="shared" ref="H16" si="17">H15+1</f>
        <v>13</v>
      </c>
      <c r="I16" s="46">
        <f t="shared" si="4"/>
        <v>46840</v>
      </c>
      <c r="J16" s="43">
        <f t="shared" si="16"/>
        <v>7735.8145454545447</v>
      </c>
      <c r="K16" s="45">
        <f t="shared" si="5"/>
        <v>6.611034002062631E-2</v>
      </c>
    </row>
    <row r="17" spans="2:11" x14ac:dyDescent="0.3">
      <c r="B17" s="43">
        <f t="shared" si="0"/>
        <v>14</v>
      </c>
      <c r="C17" s="44">
        <f t="shared" si="1"/>
        <v>47205</v>
      </c>
      <c r="D17" s="43">
        <f t="shared" si="14"/>
        <v>554948.73557575769</v>
      </c>
      <c r="E17" s="45">
        <f t="shared" si="2"/>
        <v>5.9833377325661234E-2</v>
      </c>
      <c r="H17" s="43">
        <f t="shared" ref="H17" si="18">H16+1</f>
        <v>14</v>
      </c>
      <c r="I17" s="46">
        <f t="shared" si="4"/>
        <v>47205</v>
      </c>
      <c r="J17" s="43">
        <f t="shared" si="16"/>
        <v>8215.5184848484841</v>
      </c>
      <c r="K17" s="45">
        <f t="shared" si="5"/>
        <v>6.2010785881081741E-2</v>
      </c>
    </row>
    <row r="18" spans="2:11" x14ac:dyDescent="0.3">
      <c r="B18" s="43">
        <f t="shared" si="0"/>
        <v>15</v>
      </c>
      <c r="C18" s="44">
        <f t="shared" si="1"/>
        <v>47570</v>
      </c>
      <c r="D18" s="43">
        <f t="shared" si="14"/>
        <v>586278.6198787879</v>
      </c>
      <c r="E18" s="45">
        <f t="shared" si="2"/>
        <v>5.64554566838062E-2</v>
      </c>
      <c r="H18" s="43">
        <f t="shared" ref="H18" si="19">H17+1</f>
        <v>15</v>
      </c>
      <c r="I18" s="46">
        <f t="shared" si="4"/>
        <v>47570</v>
      </c>
      <c r="J18" s="43">
        <f t="shared" si="16"/>
        <v>8695.2224242424236</v>
      </c>
      <c r="K18" s="45">
        <f t="shared" si="5"/>
        <v>5.8389977489386229E-2</v>
      </c>
    </row>
    <row r="19" spans="2:11" x14ac:dyDescent="0.3">
      <c r="C19" s="40"/>
    </row>
    <row r="20" spans="2:11" x14ac:dyDescent="0.3">
      <c r="C20" s="40"/>
    </row>
  </sheetData>
  <mergeCells count="2">
    <mergeCell ref="B2:E2"/>
    <mergeCell ref="H2:K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2D0EC-06CE-491F-AD4A-29CA65C8578F}">
  <dimension ref="B2:L41"/>
  <sheetViews>
    <sheetView showGridLines="0" workbookViewId="0">
      <selection activeCell="D31" sqref="D31"/>
    </sheetView>
  </sheetViews>
  <sheetFormatPr defaultRowHeight="14.4" x14ac:dyDescent="0.3"/>
  <cols>
    <col min="1" max="1" width="1.88671875" customWidth="1"/>
    <col min="2" max="2" width="22.109375" customWidth="1"/>
  </cols>
  <sheetData>
    <row r="2" spans="2:12" x14ac:dyDescent="0.3">
      <c r="B2" s="86" t="str">
        <f>"Common Size Statement"&amp;" "&amp;" - "&amp;'Data Sheet'!B1</f>
        <v>Common Size Statement  - ASIAN PAINTS LTD</v>
      </c>
      <c r="C2" s="86"/>
      <c r="D2" s="86"/>
      <c r="E2" s="86"/>
      <c r="F2" s="86"/>
      <c r="G2" s="86"/>
      <c r="H2" s="86"/>
      <c r="I2" s="86"/>
      <c r="J2" s="86"/>
      <c r="K2" s="86"/>
      <c r="L2" s="86"/>
    </row>
    <row r="4" spans="2:12" x14ac:dyDescent="0.3">
      <c r="B4" s="47" t="s">
        <v>161</v>
      </c>
      <c r="C4" s="48">
        <f>'Data Sheet'!B16</f>
        <v>42460</v>
      </c>
      <c r="D4" s="48">
        <f>'Data Sheet'!C16</f>
        <v>42825</v>
      </c>
      <c r="E4" s="48">
        <f>'Data Sheet'!D16</f>
        <v>43190</v>
      </c>
      <c r="F4" s="48">
        <f>'Data Sheet'!E16</f>
        <v>43555</v>
      </c>
      <c r="G4" s="48">
        <f>'Data Sheet'!F16</f>
        <v>43921</v>
      </c>
      <c r="H4" s="48">
        <f>'Data Sheet'!G16</f>
        <v>44286</v>
      </c>
      <c r="I4" s="48">
        <f>'Data Sheet'!H16</f>
        <v>44651</v>
      </c>
      <c r="J4" s="48">
        <f>'Data Sheet'!I16</f>
        <v>45016</v>
      </c>
      <c r="K4" s="48">
        <f>'Data Sheet'!J16</f>
        <v>45382</v>
      </c>
      <c r="L4" s="48">
        <f>'Data Sheet'!K16</f>
        <v>45747</v>
      </c>
    </row>
    <row r="5" spans="2:12" x14ac:dyDescent="0.3">
      <c r="B5" t="str">
        <f>'Data Sheet'!A17</f>
        <v>Sales</v>
      </c>
      <c r="C5" s="36">
        <f>'Data Sheet'!B17/'Data Sheet'!B$17</f>
        <v>1</v>
      </c>
      <c r="D5" s="36">
        <f>'Data Sheet'!C17/'Data Sheet'!C$17</f>
        <v>1</v>
      </c>
      <c r="E5" s="36">
        <f>'Data Sheet'!D17/'Data Sheet'!D$17</f>
        <v>1</v>
      </c>
      <c r="F5" s="36">
        <f>'Data Sheet'!E17/'Data Sheet'!E$17</f>
        <v>1</v>
      </c>
      <c r="G5" s="36">
        <f>'Data Sheet'!F17/'Data Sheet'!F$17</f>
        <v>1</v>
      </c>
      <c r="H5" s="36">
        <f>'Data Sheet'!G17/'Data Sheet'!G$17</f>
        <v>1</v>
      </c>
      <c r="I5" s="36">
        <f>'Data Sheet'!H17/'Data Sheet'!H$17</f>
        <v>1</v>
      </c>
      <c r="J5" s="36">
        <f>'Data Sheet'!I17/'Data Sheet'!I$17</f>
        <v>1</v>
      </c>
      <c r="K5" s="36">
        <f>'Data Sheet'!J17/'Data Sheet'!J$17</f>
        <v>1</v>
      </c>
      <c r="L5" s="36">
        <f>'Data Sheet'!K17/'Data Sheet'!K$17</f>
        <v>1</v>
      </c>
    </row>
    <row r="6" spans="2:12" x14ac:dyDescent="0.3">
      <c r="B6" t="str">
        <f>'Data Sheet'!A18</f>
        <v>Raw Material Cost</v>
      </c>
      <c r="C6" s="36">
        <f>'Data Sheet'!B18/'Data Sheet'!B$17</f>
        <v>0.46034646697716919</v>
      </c>
      <c r="D6" s="36">
        <f>'Data Sheet'!C18/'Data Sheet'!C$17</f>
        <v>0.4947951764673858</v>
      </c>
      <c r="E6" s="36">
        <f>'Data Sheet'!D18/'Data Sheet'!D$17</f>
        <v>0.48311366425847946</v>
      </c>
      <c r="F6" s="36">
        <f>'Data Sheet'!E18/'Data Sheet'!E$17</f>
        <v>0.51841645560606919</v>
      </c>
      <c r="G6" s="36">
        <f>'Data Sheet'!F18/'Data Sheet'!F$17</f>
        <v>0.4938828622673016</v>
      </c>
      <c r="H6" s="36">
        <f>'Data Sheet'!G18/'Data Sheet'!G$17</f>
        <v>0.48015708713619937</v>
      </c>
      <c r="I6" s="36">
        <f>'Data Sheet'!H18/'Data Sheet'!H$17</f>
        <v>0.58840195345359381</v>
      </c>
      <c r="J6" s="36">
        <f>'Data Sheet'!I18/'Data Sheet'!I$17</f>
        <v>0.55048727709657019</v>
      </c>
      <c r="K6" s="36">
        <f>'Data Sheet'!J18/'Data Sheet'!J$17</f>
        <v>0.49051901507632256</v>
      </c>
      <c r="L6" s="36">
        <f>'Data Sheet'!K18/'Data Sheet'!K$17</f>
        <v>0.51627163874307558</v>
      </c>
    </row>
    <row r="7" spans="2:12" x14ac:dyDescent="0.3">
      <c r="B7" t="str">
        <f>'Data Sheet'!A19</f>
        <v>Change in Inventory</v>
      </c>
      <c r="C7" s="36">
        <f>'Data Sheet'!B19/'Data Sheet'!B$17</f>
        <v>-1.3967006948818941E-2</v>
      </c>
      <c r="D7" s="36">
        <f>'Data Sheet'!C19/'Data Sheet'!C$17</f>
        <v>3.5094964211236368E-2</v>
      </c>
      <c r="E7" s="36">
        <f>'Data Sheet'!D19/'Data Sheet'!D$17</f>
        <v>-8.4477742346749252E-3</v>
      </c>
      <c r="F7" s="36">
        <f>'Data Sheet'!E19/'Data Sheet'!E$17</f>
        <v>1.5242100755036478E-2</v>
      </c>
      <c r="G7" s="36">
        <f>'Data Sheet'!F19/'Data Sheet'!F$17</f>
        <v>1.1832519017873709E-2</v>
      </c>
      <c r="H7" s="36">
        <f>'Data Sheet'!G19/'Data Sheet'!G$17</f>
        <v>4.2578590775298802E-3</v>
      </c>
      <c r="I7" s="36">
        <f>'Data Sheet'!H19/'Data Sheet'!H$17</f>
        <v>4.5529612443164016E-2</v>
      </c>
      <c r="J7" s="36">
        <f>'Data Sheet'!I19/'Data Sheet'!I$17</f>
        <v>8.9806512820616927E-3</v>
      </c>
      <c r="K7" s="36">
        <f>'Data Sheet'!J19/'Data Sheet'!J$17</f>
        <v>-1.0249408855906214E-2</v>
      </c>
      <c r="L7" s="36">
        <f>'Data Sheet'!K19/'Data Sheet'!K$17</f>
        <v>6.0461952915180431E-3</v>
      </c>
    </row>
    <row r="8" spans="2:12" x14ac:dyDescent="0.3">
      <c r="B8" t="str">
        <f>'Data Sheet'!A20</f>
        <v>Power and Fuel</v>
      </c>
      <c r="C8" s="36">
        <f>'Data Sheet'!B20/'Data Sheet'!B$17</f>
        <v>8.021587094269764E-3</v>
      </c>
      <c r="D8" s="36">
        <f>'Data Sheet'!C20/'Data Sheet'!C$17</f>
        <v>7.0389105290867941E-3</v>
      </c>
      <c r="E8" s="36">
        <f>'Data Sheet'!D20/'Data Sheet'!D$17</f>
        <v>6.5558959972183504E-3</v>
      </c>
      <c r="F8" s="36">
        <f>'Data Sheet'!E20/'Data Sheet'!E$17</f>
        <v>6.2177334560629266E-3</v>
      </c>
      <c r="G8" s="36">
        <f>'Data Sheet'!F20/'Data Sheet'!F$17</f>
        <v>4.8383944585317588E-3</v>
      </c>
      <c r="H8" s="36">
        <f>'Data Sheet'!G20/'Data Sheet'!G$17</f>
        <v>3.9631019320870327E-3</v>
      </c>
      <c r="I8" s="36">
        <f>'Data Sheet'!H20/'Data Sheet'!H$17</f>
        <v>4.0283451449558234E-3</v>
      </c>
      <c r="J8" s="36">
        <f>'Data Sheet'!I20/'Data Sheet'!I$17</f>
        <v>4.0097319142359837E-3</v>
      </c>
      <c r="K8" s="36">
        <f>'Data Sheet'!J20/'Data Sheet'!J$17</f>
        <v>3.7540784223460775E-3</v>
      </c>
      <c r="L8" s="36">
        <f>'Data Sheet'!K20/'Data Sheet'!K$17</f>
        <v>4.3821643727500045E-3</v>
      </c>
    </row>
    <row r="9" spans="2:12" x14ac:dyDescent="0.3">
      <c r="B9" t="str">
        <f>'Data Sheet'!A21</f>
        <v>Other Mfr. Exp</v>
      </c>
      <c r="C9" s="36">
        <f>'Data Sheet'!B21/'Data Sheet'!B$17</f>
        <v>0.10757250994815538</v>
      </c>
      <c r="D9" s="36">
        <f>'Data Sheet'!C21/'Data Sheet'!C$17</f>
        <v>0.11039377930804628</v>
      </c>
      <c r="E9" s="36">
        <f>'Data Sheet'!D21/'Data Sheet'!D$17</f>
        <v>0.10054830589822611</v>
      </c>
      <c r="F9" s="36">
        <f>'Data Sheet'!E21/'Data Sheet'!E$17</f>
        <v>9.679508402490003E-2</v>
      </c>
      <c r="G9" s="36">
        <f>'Data Sheet'!F21/'Data Sheet'!F$17</f>
        <v>9.6288947986888487E-2</v>
      </c>
      <c r="H9" s="36">
        <f>'Data Sheet'!G21/'Data Sheet'!G$17</f>
        <v>9.5257679920452407E-2</v>
      </c>
      <c r="I9" s="36">
        <f>'Data Sheet'!H21/'Data Sheet'!H$17</f>
        <v>9.8980182315004703E-2</v>
      </c>
      <c r="J9" s="36">
        <f>'Data Sheet'!I21/'Data Sheet'!I$17</f>
        <v>8.455550081925646E-2</v>
      </c>
      <c r="K9" s="36">
        <f>'Data Sheet'!J21/'Data Sheet'!J$17</f>
        <v>7.796030565664254E-2</v>
      </c>
      <c r="L9" s="36">
        <f>'Data Sheet'!K21/'Data Sheet'!K$17</f>
        <v>7.9261196226466282E-2</v>
      </c>
    </row>
    <row r="10" spans="2:12" x14ac:dyDescent="0.3">
      <c r="B10" t="str">
        <f>'Data Sheet'!A22</f>
        <v>Employee Cost</v>
      </c>
      <c r="C10" s="36">
        <f>'Data Sheet'!B22/'Data Sheet'!B$17</f>
        <v>6.9718018230752368E-2</v>
      </c>
      <c r="D10" s="36">
        <f>'Data Sheet'!C22/'Data Sheet'!C$17</f>
        <v>6.9040677891832367E-2</v>
      </c>
      <c r="E10" s="36">
        <f>'Data Sheet'!D22/'Data Sheet'!D$17</f>
        <v>6.6681724028280112E-2</v>
      </c>
      <c r="F10" s="36">
        <f>'Data Sheet'!E22/'Data Sheet'!E$17</f>
        <v>6.4588440930492666E-2</v>
      </c>
      <c r="G10" s="36">
        <f>'Data Sheet'!F22/'Data Sheet'!F$17</f>
        <v>6.7846867462428101E-2</v>
      </c>
      <c r="H10" s="36">
        <f>'Data Sheet'!G22/'Data Sheet'!G$17</f>
        <v>7.1276422790438249E-2</v>
      </c>
      <c r="I10" s="36">
        <f>'Data Sheet'!H22/'Data Sheet'!H$17</f>
        <v>6.1667734202756716E-2</v>
      </c>
      <c r="J10" s="36">
        <f>'Data Sheet'!I22/'Data Sheet'!I$17</f>
        <v>5.9045904747048232E-2</v>
      </c>
      <c r="K10" s="36">
        <f>'Data Sheet'!J22/'Data Sheet'!J$17</f>
        <v>6.5782159774141119E-2</v>
      </c>
      <c r="L10" s="36">
        <f>'Data Sheet'!K22/'Data Sheet'!K$17</f>
        <v>7.6853925691375058E-2</v>
      </c>
    </row>
    <row r="11" spans="2:12" x14ac:dyDescent="0.3">
      <c r="B11" t="str">
        <f>'Data Sheet'!A23</f>
        <v>Selling and admin</v>
      </c>
      <c r="C11" s="36">
        <f>'Data Sheet'!B23/'Data Sheet'!B$17</f>
        <v>0.27413395517917194</v>
      </c>
      <c r="D11" s="36">
        <f>'Data Sheet'!C23/'Data Sheet'!C$17</f>
        <v>0.28973860691714709</v>
      </c>
      <c r="E11" s="36">
        <f>'Data Sheet'!D23/'Data Sheet'!D$17</f>
        <v>0.13402557572119314</v>
      </c>
      <c r="F11" s="36">
        <f>'Data Sheet'!E23/'Data Sheet'!E$17</f>
        <v>0.12301736006981241</v>
      </c>
      <c r="G11" s="36">
        <f>'Data Sheet'!F23/'Data Sheet'!F$17</f>
        <v>0.11436749335147506</v>
      </c>
      <c r="H11" s="36">
        <f>'Data Sheet'!G23/'Data Sheet'!G$17</f>
        <v>0.10342705842961683</v>
      </c>
      <c r="I11" s="36">
        <f>'Data Sheet'!H23/'Data Sheet'!H$17</f>
        <v>0.10109452230279906</v>
      </c>
      <c r="J11" s="36">
        <f>'Data Sheet'!I23/'Data Sheet'!I$17</f>
        <v>0.10150719411840266</v>
      </c>
      <c r="K11" s="36">
        <f>'Data Sheet'!J23/'Data Sheet'!J$17</f>
        <v>0.10739228048783579</v>
      </c>
      <c r="L11" s="36">
        <f>'Data Sheet'!K23/'Data Sheet'!K$17</f>
        <v>0.1142860682093411</v>
      </c>
    </row>
    <row r="12" spans="2:12" x14ac:dyDescent="0.3">
      <c r="B12" t="str">
        <f>'Data Sheet'!A24</f>
        <v>Other Expenses</v>
      </c>
      <c r="C12" s="36">
        <f>'Data Sheet'!B24/'Data Sheet'!B$17</f>
        <v>-0.12470246624564078</v>
      </c>
      <c r="D12" s="36">
        <f>'Data Sheet'!C24/'Data Sheet'!C$17</f>
        <v>-0.13467476741121193</v>
      </c>
      <c r="E12" s="36">
        <f>'Data Sheet'!D24/'Data Sheet'!D$17</f>
        <v>1.0190465718251008E-2</v>
      </c>
      <c r="F12" s="36">
        <f>'Data Sheet'!E24/'Data Sheet'!E$17</f>
        <v>1.0525396657922789E-2</v>
      </c>
      <c r="G12" s="36">
        <f>'Data Sheet'!F24/'Data Sheet'!F$17</f>
        <v>2.8939328344362667E-2</v>
      </c>
      <c r="H12" s="36">
        <f>'Data Sheet'!G24/'Data Sheet'!G$17</f>
        <v>2.6547947085565692E-2</v>
      </c>
      <c r="I12" s="36">
        <f>'Data Sheet'!H24/'Data Sheet'!H$17</f>
        <v>2.6291627034962038E-2</v>
      </c>
      <c r="J12" s="36">
        <f>'Data Sheet'!I24/'Data Sheet'!I$17</f>
        <v>2.7870376840572496E-2</v>
      </c>
      <c r="K12" s="36">
        <f>'Data Sheet'!J24/'Data Sheet'!J$17</f>
        <v>3.0649620380264902E-2</v>
      </c>
      <c r="L12" s="36">
        <f>'Data Sheet'!K24/'Data Sheet'!K$17</f>
        <v>3.784623316134611E-2</v>
      </c>
    </row>
    <row r="13" spans="2:12" x14ac:dyDescent="0.3">
      <c r="B13" t="str">
        <f>'Data Sheet'!A25</f>
        <v>Other Income</v>
      </c>
      <c r="C13" s="36">
        <f>'Data Sheet'!B25/'Data Sheet'!B$17</f>
        <v>1.4952187893485543E-2</v>
      </c>
      <c r="D13" s="36">
        <f>'Data Sheet'!C25/'Data Sheet'!C$17</f>
        <v>2.2433954610247383E-2</v>
      </c>
      <c r="E13" s="36">
        <f>'Data Sheet'!D25/'Data Sheet'!D$17</f>
        <v>1.9995185606747286E-2</v>
      </c>
      <c r="F13" s="36">
        <f>'Data Sheet'!E25/'Data Sheet'!E$17</f>
        <v>1.422911383654892E-2</v>
      </c>
      <c r="G13" s="36">
        <f>'Data Sheet'!F25/'Data Sheet'!F$17</f>
        <v>1.7566949100129878E-2</v>
      </c>
      <c r="H13" s="36">
        <f>'Data Sheet'!G25/'Data Sheet'!G$17</f>
        <v>1.5274407388456295E-2</v>
      </c>
      <c r="I13" s="36">
        <f>'Data Sheet'!H25/'Data Sheet'!H$17</f>
        <v>1.0167250375241226E-2</v>
      </c>
      <c r="J13" s="36">
        <f>'Data Sheet'!I25/'Data Sheet'!I$17</f>
        <v>1.2510224395952401E-2</v>
      </c>
      <c r="K13" s="36">
        <f>'Data Sheet'!J25/'Data Sheet'!J$17</f>
        <v>2.3129067329149988E-2</v>
      </c>
      <c r="L13" s="36">
        <f>'Data Sheet'!K25/'Data Sheet'!K$17</f>
        <v>1.0329261048758288E-2</v>
      </c>
    </row>
    <row r="14" spans="2:12" x14ac:dyDescent="0.3">
      <c r="B14" t="str">
        <f>'Data Sheet'!A26</f>
        <v>Depreciation</v>
      </c>
      <c r="C14" s="36">
        <f>'Data Sheet'!B26/'Data Sheet'!B$17</f>
        <v>1.9309826794539322E-2</v>
      </c>
      <c r="D14" s="36">
        <f>'Data Sheet'!C26/'Data Sheet'!C$17</f>
        <v>2.2227474590011016E-2</v>
      </c>
      <c r="E14" s="36">
        <f>'Data Sheet'!D26/'Data Sheet'!D$17</f>
        <v>2.1425238713665449E-2</v>
      </c>
      <c r="F14" s="36">
        <f>'Data Sheet'!E26/'Data Sheet'!E$17</f>
        <v>3.2335540352378074E-2</v>
      </c>
      <c r="G14" s="36">
        <f>'Data Sheet'!F26/'Data Sheet'!F$17</f>
        <v>3.8617106809326486E-2</v>
      </c>
      <c r="H14" s="36">
        <f>'Data Sheet'!G26/'Data Sheet'!G$17</f>
        <v>3.6442576011650275E-2</v>
      </c>
      <c r="I14" s="36">
        <f>'Data Sheet'!H26/'Data Sheet'!H$17</f>
        <v>2.8052374328551871E-2</v>
      </c>
      <c r="J14" s="36">
        <f>'Data Sheet'!I26/'Data Sheet'!I$17</f>
        <v>2.4878372818372688E-2</v>
      </c>
      <c r="K14" s="36">
        <f>'Data Sheet'!J26/'Data Sheet'!J$17</f>
        <v>2.4031736542297968E-2</v>
      </c>
      <c r="L14" s="36">
        <f>'Data Sheet'!K26/'Data Sheet'!K$17</f>
        <v>3.0270497929251843E-2</v>
      </c>
    </row>
    <row r="15" spans="2:12" x14ac:dyDescent="0.3">
      <c r="B15" t="str">
        <f>'Data Sheet'!A27</f>
        <v>Interest</v>
      </c>
      <c r="C15" s="36">
        <f>'Data Sheet'!B27/'Data Sheet'!B$17</f>
        <v>3.4334186549547386E-3</v>
      </c>
      <c r="D15" s="36">
        <f>'Data Sheet'!C27/'Data Sheet'!C$17</f>
        <v>2.4784241657310885E-3</v>
      </c>
      <c r="E15" s="36">
        <f>'Data Sheet'!D27/'Data Sheet'!D$17</f>
        <v>2.4648504714836358E-3</v>
      </c>
      <c r="F15" s="36">
        <f>'Data Sheet'!E27/'Data Sheet'!E$17</f>
        <v>5.7416451967840128E-3</v>
      </c>
      <c r="G15" s="36">
        <f>'Data Sheet'!F27/'Data Sheet'!F$17</f>
        <v>5.0630218319005502E-3</v>
      </c>
      <c r="H15" s="36">
        <f>'Data Sheet'!G27/'Data Sheet'!G$17</f>
        <v>4.2200933182700148E-3</v>
      </c>
      <c r="I15" s="36">
        <f>'Data Sheet'!H27/'Data Sheet'!H$17</f>
        <v>3.2785499469439143E-3</v>
      </c>
      <c r="J15" s="36">
        <f>'Data Sheet'!I27/'Data Sheet'!I$17</f>
        <v>4.1883417095335005E-3</v>
      </c>
      <c r="K15" s="36">
        <f>'Data Sheet'!J27/'Data Sheet'!J$17</f>
        <v>5.7802947085384216E-3</v>
      </c>
      <c r="L15" s="36">
        <f>'Data Sheet'!K27/'Data Sheet'!K$17</f>
        <v>6.6956451467337858E-3</v>
      </c>
    </row>
    <row r="16" spans="2:12" x14ac:dyDescent="0.3">
      <c r="B16" t="str">
        <f>'Data Sheet'!A28</f>
        <v>Profit before tax</v>
      </c>
      <c r="C16" s="36">
        <f>'Data Sheet'!B28/'Data Sheet'!B$17</f>
        <v>0.18315186431129477</v>
      </c>
      <c r="D16" s="36">
        <f>'Data Sheet'!C28/'Data Sheet'!C$17</f>
        <v>0.19649063636345529</v>
      </c>
      <c r="E16" s="36">
        <f>'Data Sheet'!D28/'Data Sheet'!D$17</f>
        <v>0.18654169056527517</v>
      </c>
      <c r="F16" s="36">
        <f>'Data Sheet'!E28/'Data Sheet'!E$17</f>
        <v>0.17183355829716326</v>
      </c>
      <c r="G16" s="36">
        <f>'Data Sheet'!F28/'Data Sheet'!F$17</f>
        <v>0.17955544560578884</v>
      </c>
      <c r="H16" s="36">
        <f>'Data Sheet'!G28/'Data Sheet'!G$17</f>
        <v>0.19824029984170621</v>
      </c>
      <c r="I16" s="36">
        <f>'Data Sheet'!H28/'Data Sheet'!H$17</f>
        <v>0.14390157408883733</v>
      </c>
      <c r="J16" s="36">
        <f>'Data Sheet'!I28/'Data Sheet'!I$17</f>
        <v>0.16494817561402192</v>
      </c>
      <c r="K16" s="36">
        <f>'Data Sheet'!J28/'Data Sheet'!J$17</f>
        <v>0.20701016742485434</v>
      </c>
      <c r="L16" s="36">
        <f>'Data Sheet'!K28/'Data Sheet'!K$17</f>
        <v>0.15050808685993647</v>
      </c>
    </row>
    <row r="17" spans="2:12" x14ac:dyDescent="0.3">
      <c r="B17" t="str">
        <f>'Data Sheet'!A29</f>
        <v>Tax</v>
      </c>
      <c r="C17" s="36">
        <f>'Data Sheet'!B29/'Data Sheet'!B$17</f>
        <v>5.9173218773933209E-2</v>
      </c>
      <c r="D17" s="36">
        <f>'Data Sheet'!C29/'Data Sheet'!C$17</f>
        <v>6.2627182729506528E-2</v>
      </c>
      <c r="E17" s="36">
        <f>'Data Sheet'!D29/'Data Sheet'!D$17</f>
        <v>6.1871491362324706E-2</v>
      </c>
      <c r="F17" s="36">
        <f>'Data Sheet'!E29/'Data Sheet'!E$17</f>
        <v>5.7071339954563712E-2</v>
      </c>
      <c r="G17" s="36">
        <f>'Data Sheet'!F29/'Data Sheet'!F$17</f>
        <v>4.2295751128703075E-2</v>
      </c>
      <c r="H17" s="36">
        <f>'Data Sheet'!G29/'Data Sheet'!G$17</f>
        <v>5.05508504434483E-2</v>
      </c>
      <c r="I17" s="36">
        <f>'Data Sheet'!H29/'Data Sheet'!H$17</f>
        <v>3.7899020249281136E-2</v>
      </c>
      <c r="J17" s="36">
        <f>'Data Sheet'!I29/'Data Sheet'!I$17</f>
        <v>4.3304176830656176E-2</v>
      </c>
      <c r="K17" s="36">
        <f>'Data Sheet'!J29/'Data Sheet'!J$17</f>
        <v>5.0432275439198995E-2</v>
      </c>
      <c r="L17" s="36">
        <f>'Data Sheet'!K29/'Data Sheet'!K$17</f>
        <v>4.1095252055558924E-2</v>
      </c>
    </row>
    <row r="18" spans="2:12" x14ac:dyDescent="0.3">
      <c r="B18" t="str">
        <f>'Data Sheet'!A30</f>
        <v>Net profit</v>
      </c>
      <c r="C18" s="36">
        <f>'Data Sheet'!B30/'Data Sheet'!B$17</f>
        <v>0.12228295714042473</v>
      </c>
      <c r="D18" s="36">
        <f>'Data Sheet'!C30/'Data Sheet'!C$17</f>
        <v>0.12876319795724203</v>
      </c>
      <c r="E18" s="36">
        <f>'Data Sheet'!D30/'Data Sheet'!D$17</f>
        <v>0.12118778808348515</v>
      </c>
      <c r="F18" s="36">
        <f>'Data Sheet'!E30/'Data Sheet'!E$17</f>
        <v>0.11205329693718286</v>
      </c>
      <c r="G18" s="36">
        <f>'Data Sheet'!F30/'Data Sheet'!F$17</f>
        <v>0.13384476467313997</v>
      </c>
      <c r="H18" s="36">
        <f>'Data Sheet'!G30/'Data Sheet'!G$17</f>
        <v>0.14458252486207437</v>
      </c>
      <c r="I18" s="36">
        <f>'Data Sheet'!H30/'Data Sheet'!H$17</f>
        <v>0.10413871829692715</v>
      </c>
      <c r="J18" s="36">
        <f>'Data Sheet'!I30/'Data Sheet'!I$17</f>
        <v>0.11906691459407301</v>
      </c>
      <c r="K18" s="36">
        <f>'Data Sheet'!J30/'Data Sheet'!J$17</f>
        <v>0.15383213226301479</v>
      </c>
      <c r="L18" s="36">
        <f>'Data Sheet'!K30/'Data Sheet'!K$17</f>
        <v>0.10815994516543274</v>
      </c>
    </row>
    <row r="19" spans="2:12" x14ac:dyDescent="0.3">
      <c r="B19" t="str">
        <f>'Data Sheet'!A31</f>
        <v>Dividend Amount</v>
      </c>
      <c r="C19" s="36">
        <f>'Data Sheet'!B31/'Data Sheet'!B$17</f>
        <v>5.0408191436213036E-2</v>
      </c>
      <c r="D19" s="36">
        <f>'Data Sheet'!C31/'Data Sheet'!C$17</f>
        <v>6.559425414570054E-2</v>
      </c>
      <c r="E19" s="36">
        <f>'Data Sheet'!D31/'Data Sheet'!D$17</f>
        <v>4.9600137893732674E-2</v>
      </c>
      <c r="F19" s="36">
        <f>'Data Sheet'!E31/'Data Sheet'!E$17</f>
        <v>5.2346839652330827E-2</v>
      </c>
      <c r="G19" s="36">
        <f>'Data Sheet'!F31/'Data Sheet'!F$17</f>
        <v>5.6950460758241075E-2</v>
      </c>
      <c r="H19" s="36">
        <f>'Data Sheet'!G31/'Data Sheet'!G$17</f>
        <v>7.8855365892637475E-2</v>
      </c>
      <c r="I19" s="36">
        <f>'Data Sheet'!H31/'Data Sheet'!H$17</f>
        <v>6.3119904004222488E-2</v>
      </c>
      <c r="J19" s="36">
        <f>'Data Sheet'!I31/'Data Sheet'!I$17</f>
        <v>7.1338086016273797E-2</v>
      </c>
      <c r="K19" s="36">
        <f>'Data Sheet'!J31/'Data Sheet'!J$17</f>
        <v>8.998913359814259E-2</v>
      </c>
      <c r="L19" s="36">
        <f>'Data Sheet'!K31/'Data Sheet'!K$17</f>
        <v>7.0160050162775378E-2</v>
      </c>
    </row>
    <row r="20" spans="2:12" x14ac:dyDescent="0.3">
      <c r="B20" t="s">
        <v>64</v>
      </c>
      <c r="C20" s="4">
        <f>C18+C15+C14+C17</f>
        <v>0.204199421363852</v>
      </c>
      <c r="D20" s="4">
        <f t="shared" ref="D20:L20" si="0">D18+D15+D14+D17</f>
        <v>0.21609627944249066</v>
      </c>
      <c r="E20" s="4">
        <f t="shared" si="0"/>
        <v>0.20694936863095895</v>
      </c>
      <c r="F20" s="4">
        <f t="shared" si="0"/>
        <v>0.20720182244090865</v>
      </c>
      <c r="G20" s="4">
        <f t="shared" si="0"/>
        <v>0.21982064444307006</v>
      </c>
      <c r="H20" s="4">
        <f t="shared" si="0"/>
        <v>0.23579604463544296</v>
      </c>
      <c r="I20" s="4">
        <f t="shared" si="0"/>
        <v>0.17336866282170407</v>
      </c>
      <c r="J20" s="4">
        <f t="shared" si="0"/>
        <v>0.19143780595263538</v>
      </c>
      <c r="K20" s="4">
        <f t="shared" si="0"/>
        <v>0.23407643895305014</v>
      </c>
      <c r="L20" s="4">
        <f t="shared" si="0"/>
        <v>0.18622134029697729</v>
      </c>
    </row>
    <row r="22" spans="2:12" x14ac:dyDescent="0.3">
      <c r="B22" s="86" t="str">
        <f>"Common Size Balance Sheet "&amp;" - "&amp;'Data Sheet'!B1</f>
        <v>Common Size Balance Sheet  - ASIAN PAINTS LTD</v>
      </c>
      <c r="C22" s="86"/>
      <c r="D22" s="86"/>
      <c r="E22" s="86"/>
      <c r="F22" s="86"/>
      <c r="G22" s="86"/>
      <c r="H22" s="86"/>
      <c r="I22" s="86"/>
      <c r="J22" s="86"/>
      <c r="K22" s="86"/>
      <c r="L22" s="86"/>
    </row>
    <row r="24" spans="2:12" x14ac:dyDescent="0.3">
      <c r="B24" s="47" t="s">
        <v>161</v>
      </c>
      <c r="C24" s="48">
        <f>'Data Sheet'!B16</f>
        <v>42460</v>
      </c>
      <c r="D24" s="48">
        <f>'Data Sheet'!C16</f>
        <v>42825</v>
      </c>
      <c r="E24" s="48">
        <f>'Data Sheet'!D16</f>
        <v>43190</v>
      </c>
      <c r="F24" s="48">
        <f>'Data Sheet'!E16</f>
        <v>43555</v>
      </c>
      <c r="G24" s="48">
        <f>'Data Sheet'!F16</f>
        <v>43921</v>
      </c>
      <c r="H24" s="48">
        <f>'Data Sheet'!G16</f>
        <v>44286</v>
      </c>
      <c r="I24" s="48">
        <f>'Data Sheet'!H16</f>
        <v>44651</v>
      </c>
      <c r="J24" s="48">
        <f>'Data Sheet'!I16</f>
        <v>45016</v>
      </c>
      <c r="K24" s="48">
        <f>'Data Sheet'!J16</f>
        <v>45382</v>
      </c>
      <c r="L24" s="48">
        <f>'Data Sheet'!K16</f>
        <v>45747</v>
      </c>
    </row>
    <row r="26" spans="2:12" x14ac:dyDescent="0.3">
      <c r="B26" s="2" t="s">
        <v>162</v>
      </c>
      <c r="C26" s="49">
        <f>'Data Sheet'!B61/'Data Sheet'!B$61</f>
        <v>1</v>
      </c>
      <c r="D26" s="49">
        <f>'Data Sheet'!C61/'Data Sheet'!C$61</f>
        <v>1</v>
      </c>
      <c r="E26" s="49">
        <f>'Data Sheet'!D61/'Data Sheet'!D$61</f>
        <v>1</v>
      </c>
      <c r="F26" s="49">
        <f>'Data Sheet'!E61/'Data Sheet'!E$61</f>
        <v>1</v>
      </c>
      <c r="G26" s="49">
        <f>'Data Sheet'!F61/'Data Sheet'!F$61</f>
        <v>1</v>
      </c>
      <c r="H26" s="49">
        <f>'Data Sheet'!G61/'Data Sheet'!G$61</f>
        <v>1</v>
      </c>
      <c r="I26" s="49">
        <f>'Data Sheet'!H61/'Data Sheet'!H$61</f>
        <v>1</v>
      </c>
      <c r="J26" s="49">
        <f>'Data Sheet'!I61/'Data Sheet'!I$61</f>
        <v>1</v>
      </c>
      <c r="K26" s="49">
        <f>'Data Sheet'!J61/'Data Sheet'!J$61</f>
        <v>1</v>
      </c>
      <c r="L26" s="49">
        <f>'Data Sheet'!K61/'Data Sheet'!K$61</f>
        <v>1</v>
      </c>
    </row>
    <row r="27" spans="2:12" x14ac:dyDescent="0.3">
      <c r="B27" t="str">
        <f>'Data Sheet'!A57</f>
        <v>Equity Share Capital</v>
      </c>
      <c r="C27" s="50">
        <f>'Data Sheet'!B62/'Data Sheet'!B$61</f>
        <v>0.32354771224250711</v>
      </c>
      <c r="D27" s="50">
        <f>'Data Sheet'!C62/'Data Sheet'!C$61</f>
        <v>0.26631917769901142</v>
      </c>
      <c r="E27" s="50">
        <f>'Data Sheet'!D62/'Data Sheet'!D$61</f>
        <v>0.2711697913609058</v>
      </c>
      <c r="F27" s="50">
        <f>'Data Sheet'!E62/'Data Sheet'!E$61</f>
        <v>0.39981684846425963</v>
      </c>
      <c r="G27" s="50">
        <f>'Data Sheet'!F62/'Data Sheet'!F$61</f>
        <v>0.38866784360114692</v>
      </c>
      <c r="H27" s="50">
        <f>'Data Sheet'!G62/'Data Sheet'!G$61</f>
        <v>0.28781243644173965</v>
      </c>
      <c r="I27" s="50">
        <f>'Data Sheet'!H62/'Data Sheet'!H$61</f>
        <v>0.240393615765538</v>
      </c>
      <c r="J27" s="50">
        <f>'Data Sheet'!I62/'Data Sheet'!I$61</f>
        <v>0.22384057304825222</v>
      </c>
      <c r="K27" s="50">
        <f>'Data Sheet'!J62/'Data Sheet'!J$61</f>
        <v>0.23901123616549005</v>
      </c>
      <c r="L27" s="50">
        <f>'Data Sheet'!K62/'Data Sheet'!K$61</f>
        <v>0.30373988025135684</v>
      </c>
    </row>
    <row r="28" spans="2:12" x14ac:dyDescent="0.3">
      <c r="B28" t="str">
        <f>'Data Sheet'!A58</f>
        <v>Reserves</v>
      </c>
      <c r="C28" s="50">
        <f>'Data Sheet'!B63/'Data Sheet'!B$61</f>
        <v>1.0094677257285944E-2</v>
      </c>
      <c r="D28" s="50">
        <f>'Data Sheet'!C63/'Data Sheet'!C$61</f>
        <v>2.0760665495651417E-2</v>
      </c>
      <c r="E28" s="50">
        <f>'Data Sheet'!D63/'Data Sheet'!D$61</f>
        <v>0.10208973311982143</v>
      </c>
      <c r="F28" s="50">
        <f>'Data Sheet'!E63/'Data Sheet'!E$61</f>
        <v>1.2903690355742316E-2</v>
      </c>
      <c r="G28" s="50">
        <f>'Data Sheet'!F63/'Data Sheet'!F$61</f>
        <v>8.6900644876648069E-3</v>
      </c>
      <c r="H28" s="50">
        <f>'Data Sheet'!G63/'Data Sheet'!G$61</f>
        <v>8.9892873319728384E-3</v>
      </c>
      <c r="I28" s="50">
        <f>'Data Sheet'!H63/'Data Sheet'!H$61</f>
        <v>1.8574005278235488E-2</v>
      </c>
      <c r="J28" s="50">
        <f>'Data Sheet'!I63/'Data Sheet'!I$61</f>
        <v>3.9550678780247588E-2</v>
      </c>
      <c r="K28" s="50">
        <f>'Data Sheet'!J63/'Data Sheet'!J$61</f>
        <v>9.0244164280719186E-2</v>
      </c>
      <c r="L28" s="50">
        <f>'Data Sheet'!K63/'Data Sheet'!K$61</f>
        <v>4.1326953327678079E-2</v>
      </c>
    </row>
    <row r="29" spans="2:12" x14ac:dyDescent="0.3">
      <c r="B29" t="str">
        <f>'Data Sheet'!A59</f>
        <v>Borrowings</v>
      </c>
      <c r="C29" s="50">
        <f>'Data Sheet'!B64/'Data Sheet'!B$61</f>
        <v>0.25685408602873561</v>
      </c>
      <c r="D29" s="50">
        <f>'Data Sheet'!C64/'Data Sheet'!C$61</f>
        <v>0.21378068372995493</v>
      </c>
      <c r="E29" s="50">
        <f>'Data Sheet'!D64/'Data Sheet'!D$61</f>
        <v>0.15553479207293502</v>
      </c>
      <c r="F29" s="50">
        <f>'Data Sheet'!E64/'Data Sheet'!E$61</f>
        <v>0.15807774585755044</v>
      </c>
      <c r="G29" s="50">
        <f>'Data Sheet'!F64/'Data Sheet'!F$61</f>
        <v>0.12509937743099039</v>
      </c>
      <c r="H29" s="50">
        <f>'Data Sheet'!G64/'Data Sheet'!G$61</f>
        <v>0.23270552100824649</v>
      </c>
      <c r="I29" s="50">
        <f>'Data Sheet'!H64/'Data Sheet'!H$61</f>
        <v>0.14145261675123255</v>
      </c>
      <c r="J29" s="50">
        <f>'Data Sheet'!I64/'Data Sheet'!I$61</f>
        <v>0.16531500236817637</v>
      </c>
      <c r="K29" s="50">
        <f>'Data Sheet'!J64/'Data Sheet'!J$61</f>
        <v>0.15343818904998099</v>
      </c>
      <c r="L29" s="50">
        <f>'Data Sheet'!K64/'Data Sheet'!K$61</f>
        <v>0.1556485286729643</v>
      </c>
    </row>
    <row r="30" spans="2:12" x14ac:dyDescent="0.3">
      <c r="B30" t="str">
        <f>'Data Sheet'!A60</f>
        <v>Other Liabilities</v>
      </c>
      <c r="C30" s="50">
        <f>'Data Sheet'!B65/'Data Sheet'!B$61</f>
        <v>0.40950352447147131</v>
      </c>
      <c r="D30" s="50">
        <f>'Data Sheet'!C65/'Data Sheet'!C$61</f>
        <v>0.49913947307538215</v>
      </c>
      <c r="E30" s="50">
        <f>'Data Sheet'!D65/'Data Sheet'!D$61</f>
        <v>0.47120568344633773</v>
      </c>
      <c r="F30" s="50">
        <f>'Data Sheet'!E65/'Data Sheet'!E$61</f>
        <v>0.42920171532244761</v>
      </c>
      <c r="G30" s="50">
        <f>'Data Sheet'!F65/'Data Sheet'!F$61</f>
        <v>0.47754271448019797</v>
      </c>
      <c r="H30" s="50">
        <f>'Data Sheet'!G65/'Data Sheet'!G$61</f>
        <v>0.47049275521804113</v>
      </c>
      <c r="I30" s="50">
        <f>'Data Sheet'!H65/'Data Sheet'!H$61</f>
        <v>0.59957976220499398</v>
      </c>
      <c r="J30" s="50">
        <f>'Data Sheet'!I65/'Data Sheet'!I$61</f>
        <v>0.57129374580332382</v>
      </c>
      <c r="K30" s="50">
        <f>'Data Sheet'!J65/'Data Sheet'!J$61</f>
        <v>0.51730641050380977</v>
      </c>
      <c r="L30" s="50">
        <f>'Data Sheet'!K65/'Data Sheet'!K$61</f>
        <v>0.49928463774800075</v>
      </c>
    </row>
    <row r="32" spans="2:12" x14ac:dyDescent="0.3">
      <c r="B32" s="2" t="s">
        <v>79</v>
      </c>
      <c r="C32" s="49">
        <f>'Data Sheet'!B66/'Data Sheet'!B$66</f>
        <v>1</v>
      </c>
      <c r="D32" s="49">
        <f>'Data Sheet'!C66/'Data Sheet'!C$66</f>
        <v>1</v>
      </c>
      <c r="E32" s="49">
        <f>'Data Sheet'!D66/'Data Sheet'!D$66</f>
        <v>1</v>
      </c>
      <c r="F32" s="49">
        <f>'Data Sheet'!E66/'Data Sheet'!E$66</f>
        <v>1</v>
      </c>
      <c r="G32" s="49">
        <f>'Data Sheet'!F66/'Data Sheet'!F$66</f>
        <v>1</v>
      </c>
      <c r="H32" s="49">
        <f>'Data Sheet'!G66/'Data Sheet'!G$66</f>
        <v>1</v>
      </c>
      <c r="I32" s="49">
        <f>'Data Sheet'!H66/'Data Sheet'!H$66</f>
        <v>1</v>
      </c>
      <c r="J32" s="49">
        <f>'Data Sheet'!I66/'Data Sheet'!I$66</f>
        <v>1</v>
      </c>
      <c r="K32" s="49">
        <f>'Data Sheet'!J66/'Data Sheet'!J$66</f>
        <v>1</v>
      </c>
      <c r="L32" s="49">
        <f>'Data Sheet'!K66/'Data Sheet'!K$66</f>
        <v>1</v>
      </c>
    </row>
    <row r="33" spans="2:12" x14ac:dyDescent="0.3">
      <c r="B33" s="5" t="s">
        <v>14</v>
      </c>
      <c r="C33" s="36">
        <f>'Data Sheet'!B62/'Data Sheet'!B$66</f>
        <v>0.32354771224250711</v>
      </c>
      <c r="D33" s="36">
        <f>'Data Sheet'!C62/'Data Sheet'!C$66</f>
        <v>0.26631917769901142</v>
      </c>
      <c r="E33" s="36">
        <f>'Data Sheet'!D62/'Data Sheet'!D$66</f>
        <v>0.2711697913609058</v>
      </c>
      <c r="F33" s="36">
        <f>'Data Sheet'!E62/'Data Sheet'!E$66</f>
        <v>0.39981684846425963</v>
      </c>
      <c r="G33" s="36">
        <f>'Data Sheet'!F62/'Data Sheet'!F$66</f>
        <v>0.38866784360114692</v>
      </c>
      <c r="H33" s="36">
        <f>'Data Sheet'!G62/'Data Sheet'!G$66</f>
        <v>0.28781243644173965</v>
      </c>
      <c r="I33" s="36">
        <f>'Data Sheet'!H62/'Data Sheet'!H$66</f>
        <v>0.240393615765538</v>
      </c>
      <c r="J33" s="36">
        <f>'Data Sheet'!I62/'Data Sheet'!I$66</f>
        <v>0.22384057304825222</v>
      </c>
      <c r="K33" s="36">
        <f>'Data Sheet'!J62/'Data Sheet'!J$66</f>
        <v>0.23901123616549005</v>
      </c>
      <c r="L33" s="36">
        <f>'Data Sheet'!K62/'Data Sheet'!K$66</f>
        <v>0.30373988025135684</v>
      </c>
    </row>
    <row r="34" spans="2:12" x14ac:dyDescent="0.3">
      <c r="B34" s="5" t="s">
        <v>15</v>
      </c>
      <c r="C34" s="36">
        <f>'Data Sheet'!B63/'Data Sheet'!B$66</f>
        <v>1.0094677257285944E-2</v>
      </c>
      <c r="D34" s="36">
        <f>'Data Sheet'!C63/'Data Sheet'!C$66</f>
        <v>2.0760665495651417E-2</v>
      </c>
      <c r="E34" s="36">
        <f>'Data Sheet'!D63/'Data Sheet'!D$66</f>
        <v>0.10208973311982143</v>
      </c>
      <c r="F34" s="36">
        <f>'Data Sheet'!E63/'Data Sheet'!E$66</f>
        <v>1.2903690355742316E-2</v>
      </c>
      <c r="G34" s="36">
        <f>'Data Sheet'!F63/'Data Sheet'!F$66</f>
        <v>8.6900644876648069E-3</v>
      </c>
      <c r="H34" s="36">
        <f>'Data Sheet'!G63/'Data Sheet'!G$66</f>
        <v>8.9892873319728384E-3</v>
      </c>
      <c r="I34" s="36">
        <f>'Data Sheet'!H63/'Data Sheet'!H$66</f>
        <v>1.8574005278235488E-2</v>
      </c>
      <c r="J34" s="36">
        <f>'Data Sheet'!I63/'Data Sheet'!I$66</f>
        <v>3.9550678780247588E-2</v>
      </c>
      <c r="K34" s="36">
        <f>'Data Sheet'!J63/'Data Sheet'!J$66</f>
        <v>9.0244164280719186E-2</v>
      </c>
      <c r="L34" s="36">
        <f>'Data Sheet'!K63/'Data Sheet'!K$66</f>
        <v>4.1326953327678079E-2</v>
      </c>
    </row>
    <row r="35" spans="2:12" x14ac:dyDescent="0.3">
      <c r="B35" s="5" t="s">
        <v>16</v>
      </c>
      <c r="C35" s="36">
        <f>'Data Sheet'!B64/'Data Sheet'!B$66</f>
        <v>0.25685408602873561</v>
      </c>
      <c r="D35" s="36">
        <f>'Data Sheet'!C64/'Data Sheet'!C$66</f>
        <v>0.21378068372995493</v>
      </c>
      <c r="E35" s="36">
        <f>'Data Sheet'!D64/'Data Sheet'!D$66</f>
        <v>0.15553479207293502</v>
      </c>
      <c r="F35" s="36">
        <f>'Data Sheet'!E64/'Data Sheet'!E$66</f>
        <v>0.15807774585755044</v>
      </c>
      <c r="G35" s="36">
        <f>'Data Sheet'!F64/'Data Sheet'!F$66</f>
        <v>0.12509937743099039</v>
      </c>
      <c r="H35" s="36">
        <f>'Data Sheet'!G64/'Data Sheet'!G$66</f>
        <v>0.23270552100824649</v>
      </c>
      <c r="I35" s="36">
        <f>'Data Sheet'!H64/'Data Sheet'!H$66</f>
        <v>0.14145261675123255</v>
      </c>
      <c r="J35" s="36">
        <f>'Data Sheet'!I64/'Data Sheet'!I$66</f>
        <v>0.16531500236817637</v>
      </c>
      <c r="K35" s="36">
        <f>'Data Sheet'!J64/'Data Sheet'!J$66</f>
        <v>0.15343818904998099</v>
      </c>
      <c r="L35" s="36">
        <f>'Data Sheet'!K64/'Data Sheet'!K$66</f>
        <v>0.1556485286729643</v>
      </c>
    </row>
    <row r="36" spans="2:12" x14ac:dyDescent="0.3">
      <c r="B36" s="5" t="s">
        <v>43</v>
      </c>
      <c r="C36" s="36">
        <f>'Data Sheet'!B67/'Data Sheet'!B$66</f>
        <v>0.11240047618010365</v>
      </c>
      <c r="D36" s="36">
        <f>'Data Sheet'!C67/'Data Sheet'!C$66</f>
        <v>0.11661248235617511</v>
      </c>
      <c r="E36" s="36">
        <f>'Data Sheet'!D67/'Data Sheet'!D$66</f>
        <v>0.12574072836230374</v>
      </c>
      <c r="F36" s="36">
        <f>'Data Sheet'!E67/'Data Sheet'!E$66</f>
        <v>0.11738253315313585</v>
      </c>
      <c r="G36" s="36">
        <f>'Data Sheet'!F67/'Data Sheet'!F$66</f>
        <v>0.111241996360137</v>
      </c>
      <c r="H36" s="36">
        <f>'Data Sheet'!G67/'Data Sheet'!G$66</f>
        <v>0.12783721618012767</v>
      </c>
      <c r="I36" s="36">
        <f>'Data Sheet'!H67/'Data Sheet'!H$66</f>
        <v>0.168628255503534</v>
      </c>
      <c r="J36" s="36">
        <f>'Data Sheet'!I67/'Data Sheet'!I$66</f>
        <v>0.17987046211053581</v>
      </c>
      <c r="K36" s="36">
        <f>'Data Sheet'!J67/'Data Sheet'!J$66</f>
        <v>0.16350916715522712</v>
      </c>
      <c r="L36" s="36">
        <f>'Data Sheet'!K67/'Data Sheet'!K$66</f>
        <v>0.14210556658238688</v>
      </c>
    </row>
    <row r="37" spans="2:12" x14ac:dyDescent="0.3">
      <c r="B37" s="5" t="s">
        <v>30</v>
      </c>
      <c r="C37" s="36">
        <f>'Data Sheet'!B68/'Data Sheet'!B$66</f>
        <v>0.18924465599586324</v>
      </c>
      <c r="D37" s="36">
        <f>'Data Sheet'!C68/'Data Sheet'!C$66</f>
        <v>0.21176136762113276</v>
      </c>
      <c r="E37" s="36">
        <f>'Data Sheet'!D68/'Data Sheet'!D$66</f>
        <v>0.19314228668912223</v>
      </c>
      <c r="F37" s="36">
        <f>'Data Sheet'!E68/'Data Sheet'!E$66</f>
        <v>0.19385137646748937</v>
      </c>
      <c r="G37" s="36">
        <f>'Data Sheet'!F68/'Data Sheet'!F$66</f>
        <v>0.21005182188342153</v>
      </c>
      <c r="H37" s="36">
        <f>'Data Sheet'!G68/'Data Sheet'!G$66</f>
        <v>0.18661442157193148</v>
      </c>
      <c r="I37" s="36">
        <f>'Data Sheet'!H68/'Data Sheet'!H$66</f>
        <v>0.26800525994155522</v>
      </c>
      <c r="J37" s="36">
        <f>'Data Sheet'!I68/'Data Sheet'!I$66</f>
        <v>0.24091549314896857</v>
      </c>
      <c r="K37" s="36">
        <f>'Data Sheet'!J68/'Data Sheet'!J$66</f>
        <v>0.19810225622952185</v>
      </c>
      <c r="L37" s="36">
        <f>'Data Sheet'!K68/'Data Sheet'!K$66</f>
        <v>0.22135446092521063</v>
      </c>
    </row>
    <row r="38" spans="2:12" x14ac:dyDescent="0.3">
      <c r="B38" s="3" t="s">
        <v>52</v>
      </c>
      <c r="C38" s="36">
        <f>'Data Sheet'!B69/'Data Sheet'!B$66</f>
        <v>4.0174144784132629E-2</v>
      </c>
      <c r="D38" s="36">
        <f>'Data Sheet'!C69/'Data Sheet'!C$66</f>
        <v>6.4586677027921383E-2</v>
      </c>
      <c r="E38" s="36">
        <f>'Data Sheet'!D69/'Data Sheet'!D$66</f>
        <v>2.9400267955488002E-2</v>
      </c>
      <c r="F38" s="36">
        <f>'Data Sheet'!E69/'Data Sheet'!E$66</f>
        <v>2.7379185221837375E-2</v>
      </c>
      <c r="G38" s="36">
        <f>'Data Sheet'!F69/'Data Sheet'!F$66</f>
        <v>4.8508579455780382E-2</v>
      </c>
      <c r="H38" s="36">
        <f>'Data Sheet'!G69/'Data Sheet'!G$66</f>
        <v>3.0004411618769326E-2</v>
      </c>
      <c r="I38" s="36">
        <f>'Data Sheet'!H69/'Data Sheet'!H$66</f>
        <v>3.7647609178850648E-2</v>
      </c>
      <c r="J38" s="36">
        <f>'Data Sheet'!I69/'Data Sheet'!I$66</f>
        <v>3.2732425551788971E-2</v>
      </c>
      <c r="K38" s="36">
        <f>'Data Sheet'!J69/'Data Sheet'!J$66</f>
        <v>3.6253581429508339E-2</v>
      </c>
      <c r="L38" s="36">
        <f>'Data Sheet'!K69/'Data Sheet'!K$66</f>
        <v>2.576094744731142E-2</v>
      </c>
    </row>
    <row r="39" spans="2:12" x14ac:dyDescent="0.3">
      <c r="B39" s="5" t="s">
        <v>163</v>
      </c>
      <c r="C39" s="36">
        <f>'Data Sheet'!B74/'Data Sheet'!B$66</f>
        <v>6.7684247511371809E-2</v>
      </c>
      <c r="D39" s="36">
        <f>'Data Sheet'!C74/'Data Sheet'!C$66</f>
        <v>0.10617894607015289</v>
      </c>
      <c r="E39" s="36">
        <f>'Data Sheet'!D74/'Data Sheet'!D$66</f>
        <v>0.12292240043942376</v>
      </c>
      <c r="F39" s="36">
        <f>'Data Sheet'!E74/'Data Sheet'!E$66</f>
        <v>9.0588620479984977E-2</v>
      </c>
      <c r="G39" s="36">
        <f>'Data Sheet'!F74/'Data Sheet'!F$66</f>
        <v>0.10774031678085906</v>
      </c>
      <c r="H39" s="36">
        <f>'Data Sheet'!G74/'Data Sheet'!G$66</f>
        <v>0.1260367058472126</v>
      </c>
      <c r="I39" s="36">
        <f>'Data Sheet'!H74/'Data Sheet'!H$66</f>
        <v>0.12529863758105408</v>
      </c>
      <c r="J39" s="36">
        <f>'Data Sheet'!I74/'Data Sheet'!I$66</f>
        <v>0.11777536499203044</v>
      </c>
      <c r="K39" s="36">
        <f>'Data Sheet'!J74/'Data Sheet'!J$66</f>
        <v>0.11944140568955251</v>
      </c>
      <c r="L39" s="36">
        <f>'Data Sheet'!K74/'Data Sheet'!K$66</f>
        <v>0.11006366279309181</v>
      </c>
    </row>
    <row r="40" spans="2:12" x14ac:dyDescent="0.3">
      <c r="C40" s="4"/>
    </row>
    <row r="41" spans="2:12" x14ac:dyDescent="0.3">
      <c r="C41" s="4"/>
    </row>
  </sheetData>
  <mergeCells count="2">
    <mergeCell ref="B2:L2"/>
    <mergeCell ref="B22:L22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DF8C1-8764-4E79-9A26-332E24C844D5}">
  <dimension ref="A2:I62"/>
  <sheetViews>
    <sheetView showGridLines="0" workbookViewId="0">
      <selection activeCell="I41" sqref="I41"/>
    </sheetView>
  </sheetViews>
  <sheetFormatPr defaultRowHeight="14.4" x14ac:dyDescent="0.3"/>
  <cols>
    <col min="1" max="1" width="1.88671875" customWidth="1"/>
    <col min="4" max="4" width="12.33203125" customWidth="1"/>
    <col min="6" max="6" width="8.5546875" customWidth="1"/>
  </cols>
  <sheetData>
    <row r="2" spans="2:9" x14ac:dyDescent="0.3">
      <c r="B2" s="61" t="s">
        <v>194</v>
      </c>
      <c r="C2" s="61"/>
      <c r="D2" s="61"/>
      <c r="E2" s="62">
        <f>'[1]Data Room&gt;'!I1</f>
        <v>44256</v>
      </c>
      <c r="F2" s="62">
        <f>'[1]Data Room&gt;'!J1</f>
        <v>44621</v>
      </c>
      <c r="G2" s="62">
        <f>'[1]Data Room&gt;'!K1</f>
        <v>44986</v>
      </c>
      <c r="H2" s="62">
        <f>'[1]Data Room&gt;'!L1</f>
        <v>45352</v>
      </c>
      <c r="I2" s="62">
        <f>'[1]Data Room&gt;'!M1</f>
        <v>45717</v>
      </c>
    </row>
    <row r="4" spans="2:9" x14ac:dyDescent="0.3">
      <c r="B4" s="2" t="s">
        <v>195</v>
      </c>
    </row>
    <row r="5" spans="2:9" x14ac:dyDescent="0.3">
      <c r="B5" s="63" t="str">
        <f>'[1]Data Room&gt;'!A32</f>
        <v>Inventories</v>
      </c>
      <c r="C5" s="63"/>
      <c r="D5" s="63"/>
      <c r="E5" s="71">
        <f>'[1]Data Room&gt;'!I32</f>
        <v>3799</v>
      </c>
      <c r="F5" s="71">
        <f>'[1]Data Room&gt;'!J32</f>
        <v>6153</v>
      </c>
      <c r="G5" s="71">
        <f>'[1]Data Room&gt;'!K32</f>
        <v>6211</v>
      </c>
      <c r="H5" s="71">
        <f>'[1]Data Room&gt;'!L32</f>
        <v>5923</v>
      </c>
      <c r="I5" s="71">
        <f>'[1]Data Room&gt;'!M32</f>
        <v>6719</v>
      </c>
    </row>
    <row r="6" spans="2:9" x14ac:dyDescent="0.3">
      <c r="B6" s="63" t="str">
        <f>'[1]Data Room&gt;'!A33</f>
        <v>Trade receivables -</v>
      </c>
      <c r="C6" s="63"/>
      <c r="D6" s="63"/>
      <c r="E6" s="71">
        <f>'[1]Data Room&gt;'!I33</f>
        <v>2602</v>
      </c>
      <c r="F6" s="71">
        <f>'[1]Data Room&gt;'!J33</f>
        <v>3871</v>
      </c>
      <c r="G6" s="71">
        <f>'[1]Data Room&gt;'!K33</f>
        <v>4637</v>
      </c>
      <c r="H6" s="71">
        <f>'[1]Data Room&gt;'!L33</f>
        <v>4889</v>
      </c>
      <c r="I6" s="71">
        <f>'[1]Data Room&gt;'!M33</f>
        <v>4314</v>
      </c>
    </row>
    <row r="7" spans="2:9" x14ac:dyDescent="0.3">
      <c r="B7" s="63" t="str">
        <f>'[1]Data Room&gt;'!A34</f>
        <v>Prov for Doubtful</v>
      </c>
      <c r="C7" s="63"/>
      <c r="D7" s="63"/>
      <c r="E7" s="71">
        <f>'[1]Data Room&gt;'!I34</f>
        <v>-185</v>
      </c>
      <c r="F7" s="71">
        <f>'[1]Data Room&gt;'!J34</f>
        <v>-241</v>
      </c>
      <c r="G7" s="71">
        <f>'[1]Data Room&gt;'!K34</f>
        <v>-305</v>
      </c>
      <c r="H7" s="71">
        <f>'[1]Data Room&gt;'!L34</f>
        <v>-422</v>
      </c>
      <c r="I7" s="71">
        <f>'[1]Data Room&gt;'!M34</f>
        <v>-663</v>
      </c>
    </row>
    <row r="8" spans="2:9" x14ac:dyDescent="0.3">
      <c r="B8" s="63" t="str">
        <f>'[1]Data Room&gt;'!A36</f>
        <v>Loans n Advances</v>
      </c>
      <c r="C8" s="63"/>
      <c r="D8" s="63"/>
      <c r="E8" s="71">
        <f>'[1]Data Room&gt;'!I36</f>
        <v>11</v>
      </c>
      <c r="F8" s="71">
        <f>'[1]Data Room&gt;'!J36</f>
        <v>8</v>
      </c>
      <c r="G8" s="71">
        <f>'[1]Data Room&gt;'!K36</f>
        <v>12</v>
      </c>
      <c r="H8" s="71">
        <f>'[1]Data Room&gt;'!L36</f>
        <v>17</v>
      </c>
      <c r="I8" s="71">
        <f>'[1]Data Room&gt;'!M36</f>
        <v>22</v>
      </c>
    </row>
    <row r="9" spans="2:9" ht="15" thickBot="1" x14ac:dyDescent="0.35">
      <c r="B9" s="64" t="str">
        <f>'[1]Data Room&gt;'!A37</f>
        <v>Other asset items</v>
      </c>
      <c r="C9" s="64"/>
      <c r="D9" s="64"/>
      <c r="E9" s="72">
        <f>'[1]Data Room&gt;'!I37</f>
        <v>2555</v>
      </c>
      <c r="F9" s="72">
        <f>'[1]Data Room&gt;'!J37</f>
        <v>2869</v>
      </c>
      <c r="G9" s="72">
        <f>'[1]Data Room&gt;'!K37</f>
        <v>3024</v>
      </c>
      <c r="H9" s="72">
        <f>'[1]Data Room&gt;'!L37</f>
        <v>3555</v>
      </c>
      <c r="I9" s="72">
        <f>'[1]Data Room&gt;'!M37</f>
        <v>3319</v>
      </c>
    </row>
    <row r="10" spans="2:9" x14ac:dyDescent="0.3">
      <c r="B10" s="65" t="s">
        <v>196</v>
      </c>
      <c r="C10" s="66"/>
      <c r="D10" s="66"/>
      <c r="E10" s="73">
        <f>SUM(E5:E9)</f>
        <v>8782</v>
      </c>
      <c r="F10" s="73">
        <f t="shared" ref="F10:I10" si="0">SUM(F5:F9)</f>
        <v>12660</v>
      </c>
      <c r="G10" s="73">
        <f t="shared" si="0"/>
        <v>13579</v>
      </c>
      <c r="H10" s="73">
        <f t="shared" si="0"/>
        <v>13962</v>
      </c>
      <c r="I10" s="73">
        <f t="shared" si="0"/>
        <v>13711</v>
      </c>
    </row>
    <row r="11" spans="2:9" x14ac:dyDescent="0.3">
      <c r="E11" s="74"/>
      <c r="F11" s="74"/>
      <c r="G11" s="74"/>
      <c r="H11" s="74"/>
      <c r="I11" s="74"/>
    </row>
    <row r="12" spans="2:9" x14ac:dyDescent="0.3">
      <c r="E12" s="74"/>
      <c r="F12" s="74"/>
      <c r="G12" s="74"/>
      <c r="H12" s="74"/>
      <c r="I12" s="74"/>
    </row>
    <row r="13" spans="2:9" x14ac:dyDescent="0.3">
      <c r="B13" s="2" t="s">
        <v>197</v>
      </c>
      <c r="E13" s="74"/>
      <c r="F13" s="74"/>
      <c r="G13" s="74"/>
      <c r="H13" s="74"/>
      <c r="I13" s="74"/>
    </row>
    <row r="14" spans="2:9" x14ac:dyDescent="0.3">
      <c r="B14" s="63" t="str">
        <f>'[1]Data Room&gt;'!A11</f>
        <v>Trade Payables</v>
      </c>
      <c r="C14" s="63"/>
      <c r="D14" s="63"/>
      <c r="E14" s="71">
        <f>'[1]Data Room&gt;'!I11</f>
        <v>3379</v>
      </c>
      <c r="F14" s="71">
        <f>'[1]Data Room&gt;'!J11</f>
        <v>4164</v>
      </c>
      <c r="G14" s="71">
        <f>'[1]Data Room&gt;'!K11</f>
        <v>3635</v>
      </c>
      <c r="H14" s="71">
        <f>'[1]Data Room&gt;'!L11</f>
        <v>3831</v>
      </c>
      <c r="I14" s="71">
        <f>'[1]Data Room&gt;'!M11</f>
        <v>3848</v>
      </c>
    </row>
    <row r="15" spans="2:9" x14ac:dyDescent="0.3">
      <c r="B15" s="63" t="str">
        <f>'[1]Data Room&gt;'!A12</f>
        <v>Advance from Customers</v>
      </c>
      <c r="C15" s="63"/>
      <c r="D15" s="63"/>
      <c r="E15" s="71">
        <f>'[1]Data Room&gt;'!I12</f>
        <v>41</v>
      </c>
      <c r="F15" s="71">
        <f>'[1]Data Room&gt;'!J12</f>
        <v>76</v>
      </c>
      <c r="G15" s="71">
        <f>'[1]Data Room&gt;'!K12</f>
        <v>108</v>
      </c>
      <c r="H15" s="71">
        <f>'[1]Data Room&gt;'!L12</f>
        <v>154</v>
      </c>
      <c r="I15" s="71">
        <f>'[1]Data Room&gt;'!M12</f>
        <v>173</v>
      </c>
    </row>
    <row r="16" spans="2:9" ht="15" thickBot="1" x14ac:dyDescent="0.35">
      <c r="B16" s="64" t="str">
        <f>'[1]Data Room&gt;'!A13</f>
        <v>Other liability items</v>
      </c>
      <c r="C16" s="64"/>
      <c r="D16" s="64"/>
      <c r="E16" s="72">
        <f>'[1]Data Room&gt;'!I13</f>
        <v>2613</v>
      </c>
      <c r="F16" s="72">
        <f>'[1]Data Room&gt;'!J13</f>
        <v>2932</v>
      </c>
      <c r="G16" s="72">
        <f>'[1]Data Room&gt;'!K13</f>
        <v>3657</v>
      </c>
      <c r="H16" s="72">
        <f>'[1]Data Room&gt;'!L13</f>
        <v>4017</v>
      </c>
      <c r="I16" s="72">
        <f>'[1]Data Room&gt;'!M13</f>
        <v>3985</v>
      </c>
    </row>
    <row r="17" spans="1:9" x14ac:dyDescent="0.3">
      <c r="B17" s="65" t="s">
        <v>198</v>
      </c>
      <c r="C17" s="66"/>
      <c r="D17" s="66"/>
      <c r="E17" s="73">
        <f>SUM(E14:E16)</f>
        <v>6033</v>
      </c>
      <c r="F17" s="73">
        <f t="shared" ref="F17:I17" si="1">SUM(F14:F16)</f>
        <v>7172</v>
      </c>
      <c r="G17" s="73">
        <f t="shared" si="1"/>
        <v>7400</v>
      </c>
      <c r="H17" s="73">
        <f t="shared" si="1"/>
        <v>8002</v>
      </c>
      <c r="I17" s="73">
        <f t="shared" si="1"/>
        <v>8006</v>
      </c>
    </row>
    <row r="18" spans="1:9" x14ac:dyDescent="0.3">
      <c r="E18" s="74"/>
      <c r="F18" s="74"/>
      <c r="G18" s="74"/>
      <c r="H18" s="74"/>
      <c r="I18" s="74"/>
    </row>
    <row r="19" spans="1:9" ht="15" thickBot="1" x14ac:dyDescent="0.35">
      <c r="A19" t="s">
        <v>57</v>
      </c>
      <c r="B19" s="67" t="s">
        <v>199</v>
      </c>
      <c r="C19" s="68"/>
      <c r="D19" s="68"/>
      <c r="E19" s="75">
        <f>E10-E17</f>
        <v>2749</v>
      </c>
      <c r="F19" s="75">
        <f t="shared" ref="F19:I19" si="2">F10-F17</f>
        <v>5488</v>
      </c>
      <c r="G19" s="75">
        <f t="shared" si="2"/>
        <v>6179</v>
      </c>
      <c r="H19" s="75">
        <f t="shared" si="2"/>
        <v>5960</v>
      </c>
      <c r="I19" s="75">
        <f t="shared" si="2"/>
        <v>5705</v>
      </c>
    </row>
    <row r="20" spans="1:9" x14ac:dyDescent="0.3">
      <c r="E20" s="74"/>
      <c r="F20" s="74"/>
      <c r="G20" s="74"/>
      <c r="H20" s="74"/>
      <c r="I20" s="74"/>
    </row>
    <row r="21" spans="1:9" x14ac:dyDescent="0.3">
      <c r="B21" s="2" t="s">
        <v>200</v>
      </c>
      <c r="E21" s="74"/>
      <c r="F21" s="74"/>
      <c r="G21" s="74"/>
      <c r="H21" s="74"/>
      <c r="I21" s="74"/>
    </row>
    <row r="22" spans="1:9" x14ac:dyDescent="0.3">
      <c r="B22" s="63" t="str">
        <f>'[1]Data Room&gt;'!A16</f>
        <v>Land</v>
      </c>
      <c r="C22" s="63"/>
      <c r="D22" s="63"/>
      <c r="E22" s="71">
        <f>'[1]Data Room&gt;'!I16</f>
        <v>644</v>
      </c>
      <c r="F22" s="71">
        <f>'[1]Data Room&gt;'!J16</f>
        <v>644</v>
      </c>
      <c r="G22" s="71">
        <f>'[1]Data Room&gt;'!K16</f>
        <v>804</v>
      </c>
      <c r="H22" s="71">
        <f>'[1]Data Room&gt;'!L16</f>
        <v>1126</v>
      </c>
      <c r="I22" s="71">
        <f>'[1]Data Room&gt;'!M16</f>
        <v>1050</v>
      </c>
    </row>
    <row r="23" spans="1:9" x14ac:dyDescent="0.3">
      <c r="B23" s="63" t="str">
        <f>'[1]Data Room&gt;'!A17</f>
        <v>Building</v>
      </c>
      <c r="C23" s="63"/>
      <c r="D23" s="63"/>
      <c r="E23" s="71">
        <f>'[1]Data Room&gt;'!I17</f>
        <v>2249</v>
      </c>
      <c r="F23" s="71">
        <f>'[1]Data Room&gt;'!J17</f>
        <v>2325</v>
      </c>
      <c r="G23" s="71">
        <f>'[1]Data Room&gt;'!K17</f>
        <v>2883</v>
      </c>
      <c r="H23" s="71">
        <f>'[1]Data Room&gt;'!L17</f>
        <v>3390</v>
      </c>
      <c r="I23" s="71">
        <f>'[1]Data Room&gt;'!M17</f>
        <v>4136</v>
      </c>
    </row>
    <row r="24" spans="1:9" x14ac:dyDescent="0.3">
      <c r="B24" s="63" t="str">
        <f>'[1]Data Room&gt;'!A18</f>
        <v>Plant Machinery</v>
      </c>
      <c r="C24" s="63"/>
      <c r="D24" s="63"/>
      <c r="E24" s="71">
        <f>'[1]Data Room&gt;'!I18</f>
        <v>4340</v>
      </c>
      <c r="F24" s="71">
        <f>'[1]Data Room&gt;'!J18</f>
        <v>4531</v>
      </c>
      <c r="G24" s="71">
        <f>'[1]Data Room&gt;'!K18</f>
        <v>4825</v>
      </c>
      <c r="H24" s="71">
        <f>'[1]Data Room&gt;'!L18</f>
        <v>5422</v>
      </c>
      <c r="I24" s="71">
        <f>'[1]Data Room&gt;'!M18</f>
        <v>7576</v>
      </c>
    </row>
    <row r="25" spans="1:9" x14ac:dyDescent="0.3">
      <c r="B25" s="63" t="str">
        <f>'[1]Data Room&gt;'!A19</f>
        <v>Equipments</v>
      </c>
      <c r="C25" s="63"/>
      <c r="D25" s="63"/>
      <c r="E25" s="71">
        <f>'[1]Data Room&gt;'!I19</f>
        <v>243</v>
      </c>
      <c r="F25" s="71">
        <f>'[1]Data Room&gt;'!J19</f>
        <v>253</v>
      </c>
      <c r="G25" s="71">
        <f>'[1]Data Room&gt;'!K19</f>
        <v>270</v>
      </c>
      <c r="H25" s="71">
        <f>'[1]Data Room&gt;'!L19</f>
        <v>298</v>
      </c>
      <c r="I25" s="71">
        <f>'[1]Data Room&gt;'!M19</f>
        <v>325</v>
      </c>
    </row>
    <row r="26" spans="1:9" x14ac:dyDescent="0.3">
      <c r="B26" s="63" t="str">
        <f>'[1]Data Room&gt;'!A20</f>
        <v>Furniture n fittings</v>
      </c>
      <c r="C26" s="63"/>
      <c r="D26" s="63"/>
      <c r="E26" s="71">
        <f>'[1]Data Room&gt;'!I20</f>
        <v>99</v>
      </c>
      <c r="F26" s="71">
        <f>'[1]Data Room&gt;'!J20</f>
        <v>113</v>
      </c>
      <c r="G26" s="71">
        <f>'[1]Data Room&gt;'!K20</f>
        <v>146</v>
      </c>
      <c r="H26" s="71">
        <f>'[1]Data Room&gt;'!L20</f>
        <v>175</v>
      </c>
      <c r="I26" s="71">
        <f>'[1]Data Room&gt;'!M20</f>
        <v>203</v>
      </c>
    </row>
    <row r="27" spans="1:9" x14ac:dyDescent="0.3">
      <c r="B27" s="63" t="str">
        <f>'[1]Data Room&gt;'!A21</f>
        <v>Vehicles</v>
      </c>
      <c r="C27" s="63"/>
      <c r="D27" s="63"/>
      <c r="E27" s="71">
        <f>'[1]Data Room&gt;'!I21</f>
        <v>38</v>
      </c>
      <c r="F27" s="71">
        <f>'[1]Data Room&gt;'!J21</f>
        <v>32</v>
      </c>
      <c r="G27" s="71">
        <f>'[1]Data Room&gt;'!K21</f>
        <v>36</v>
      </c>
      <c r="H27" s="71">
        <f>'[1]Data Room&gt;'!L21</f>
        <v>40</v>
      </c>
      <c r="I27" s="71">
        <f>'[1]Data Room&gt;'!M21</f>
        <v>39</v>
      </c>
    </row>
    <row r="28" spans="1:9" x14ac:dyDescent="0.3">
      <c r="B28" s="63" t="str">
        <f>'[1]Data Room&gt;'!A22</f>
        <v>Intangible Assets</v>
      </c>
      <c r="C28" s="63"/>
      <c r="D28" s="63"/>
      <c r="E28" s="71">
        <f>'[1]Data Room&gt;'!I22</f>
        <v>476</v>
      </c>
      <c r="F28" s="71">
        <f>'[1]Data Room&gt;'!J22</f>
        <v>345</v>
      </c>
      <c r="G28" s="71">
        <f>'[1]Data Room&gt;'!K22</f>
        <v>422</v>
      </c>
      <c r="H28" s="71">
        <f>'[1]Data Room&gt;'!L22</f>
        <v>850</v>
      </c>
      <c r="I28" s="71">
        <f>'[1]Data Room&gt;'!M22</f>
        <v>827</v>
      </c>
    </row>
    <row r="29" spans="1:9" ht="15" thickBot="1" x14ac:dyDescent="0.35">
      <c r="B29" s="64" t="str">
        <f>'[1]Data Room&gt;'!A23</f>
        <v>Other fixed assets</v>
      </c>
      <c r="C29" s="64"/>
      <c r="D29" s="64"/>
      <c r="E29" s="72">
        <f>'[1]Data Room&gt;'!I23</f>
        <v>302</v>
      </c>
      <c r="F29" s="72">
        <f>'[1]Data Room&gt;'!J23</f>
        <v>294</v>
      </c>
      <c r="G29" s="72">
        <f>'[1]Data Room&gt;'!K23</f>
        <v>289</v>
      </c>
      <c r="H29" s="72">
        <f>'[1]Data Room&gt;'!L23</f>
        <v>321</v>
      </c>
      <c r="I29" s="72">
        <f>'[1]Data Room&gt;'!M23</f>
        <v>328</v>
      </c>
    </row>
    <row r="30" spans="1:9" x14ac:dyDescent="0.3">
      <c r="B30" s="69" t="s">
        <v>184</v>
      </c>
      <c r="C30" s="70"/>
      <c r="D30" s="70"/>
      <c r="E30" s="76">
        <f>SUM(E22:E29)</f>
        <v>8391</v>
      </c>
      <c r="F30" s="76">
        <f t="shared" ref="F30:I30" si="3">SUM(F22:F29)</f>
        <v>8537</v>
      </c>
      <c r="G30" s="76">
        <f t="shared" si="3"/>
        <v>9675</v>
      </c>
      <c r="H30" s="76">
        <f t="shared" si="3"/>
        <v>11622</v>
      </c>
      <c r="I30" s="76">
        <f t="shared" si="3"/>
        <v>14484</v>
      </c>
    </row>
    <row r="31" spans="1:9" ht="15" thickBot="1" x14ac:dyDescent="0.35">
      <c r="B31" s="68" t="s">
        <v>201</v>
      </c>
      <c r="C31" s="68"/>
      <c r="D31" s="68"/>
      <c r="E31" s="75">
        <f>'[1]Data Room&gt;'!B25</f>
        <v>1242</v>
      </c>
      <c r="F31" s="75">
        <f>'[1]Data Room&gt;'!C25</f>
        <v>1452</v>
      </c>
      <c r="G31" s="75">
        <f>'[1]Data Room&gt;'!D25</f>
        <v>327</v>
      </c>
      <c r="H31" s="75">
        <f>'[1]Data Room&gt;'!E25</f>
        <v>610</v>
      </c>
      <c r="I31" s="75">
        <f>'[1]Data Room&gt;'!F25</f>
        <v>973</v>
      </c>
    </row>
    <row r="32" spans="1:9" x14ac:dyDescent="0.3">
      <c r="B32" s="2" t="s">
        <v>202</v>
      </c>
      <c r="E32" s="74">
        <f>E30-E31</f>
        <v>7149</v>
      </c>
      <c r="F32" s="74">
        <f t="shared" ref="F32:I32" si="4">F30-F31</f>
        <v>7085</v>
      </c>
      <c r="G32" s="74">
        <f t="shared" si="4"/>
        <v>9348</v>
      </c>
      <c r="H32" s="74">
        <f t="shared" si="4"/>
        <v>11012</v>
      </c>
      <c r="I32" s="74">
        <f t="shared" si="4"/>
        <v>13511</v>
      </c>
    </row>
    <row r="33" spans="1:9" x14ac:dyDescent="0.3">
      <c r="E33" s="74"/>
      <c r="F33" s="74"/>
      <c r="G33" s="74"/>
      <c r="H33" s="74"/>
      <c r="I33" s="74"/>
    </row>
    <row r="34" spans="1:9" x14ac:dyDescent="0.3">
      <c r="A34" t="s">
        <v>57</v>
      </c>
      <c r="B34" s="2" t="s">
        <v>203</v>
      </c>
      <c r="E34" s="74">
        <f>E32+E19</f>
        <v>9898</v>
      </c>
      <c r="F34" s="74">
        <f t="shared" ref="F34:I34" si="5">F32+F19</f>
        <v>12573</v>
      </c>
      <c r="G34" s="74">
        <f t="shared" si="5"/>
        <v>15527</v>
      </c>
      <c r="H34" s="74">
        <f t="shared" si="5"/>
        <v>16972</v>
      </c>
      <c r="I34" s="74">
        <f t="shared" si="5"/>
        <v>19216</v>
      </c>
    </row>
    <row r="35" spans="1:9" x14ac:dyDescent="0.3">
      <c r="B35" s="2" t="s">
        <v>204</v>
      </c>
      <c r="E35" s="74">
        <f>'Historical FS'!C25+'Historical FS'!C19</f>
        <v>2449.4600000000014</v>
      </c>
      <c r="F35" s="74">
        <f>'Historical FS'!D25+'Historical FS'!D19</f>
        <v>1601.7699999999995</v>
      </c>
      <c r="G35" s="74">
        <f>'Historical FS'!E25+'Historical FS'!E19</f>
        <v>3127.7999999999993</v>
      </c>
      <c r="H35" s="74">
        <f>'Historical FS'!F25+'Historical FS'!F19</f>
        <v>2556.2800000000007</v>
      </c>
      <c r="I35" s="74">
        <f>'Historical FS'!G25+'Historical FS'!G19</f>
        <v>2898.02</v>
      </c>
    </row>
    <row r="36" spans="1:9" ht="15" thickBot="1" x14ac:dyDescent="0.35"/>
    <row r="37" spans="1:9" ht="15" thickBot="1" x14ac:dyDescent="0.35">
      <c r="A37" t="s">
        <v>57</v>
      </c>
      <c r="B37" s="2" t="s">
        <v>205</v>
      </c>
      <c r="E37" s="83">
        <f>E35/E34</f>
        <v>0.2474701959991919</v>
      </c>
      <c r="F37" s="83">
        <f t="shared" ref="F37:I37" si="6">F35/F34</f>
        <v>0.12739759802751924</v>
      </c>
      <c r="G37" s="83">
        <f t="shared" si="6"/>
        <v>0.2014426482900753</v>
      </c>
      <c r="H37" s="83">
        <f t="shared" si="6"/>
        <v>0.15061748762667929</v>
      </c>
      <c r="I37" s="83">
        <f t="shared" si="6"/>
        <v>0.15081286427976687</v>
      </c>
    </row>
    <row r="38" spans="1:9" ht="15" thickTop="1" x14ac:dyDescent="0.3"/>
    <row r="39" spans="1:9" x14ac:dyDescent="0.3">
      <c r="B39" s="61" t="s">
        <v>206</v>
      </c>
      <c r="C39" s="61"/>
      <c r="D39" s="61"/>
      <c r="E39" s="62">
        <f>'Data Room &gt;'!I1</f>
        <v>44256</v>
      </c>
      <c r="F39" s="62">
        <f>'Data Room &gt;'!J1</f>
        <v>44621</v>
      </c>
      <c r="G39" s="62">
        <f>'Data Room &gt;'!K1</f>
        <v>44986</v>
      </c>
      <c r="H39" s="62">
        <f>'Data Room &gt;'!L1</f>
        <v>45352</v>
      </c>
      <c r="I39" s="62">
        <f>'Data Room &gt;'!M1</f>
        <v>45717</v>
      </c>
    </row>
    <row r="41" spans="1:9" x14ac:dyDescent="0.3">
      <c r="B41" t="s">
        <v>207</v>
      </c>
      <c r="E41" s="79">
        <f>-SUM('Raw FS'!I13:I14)</f>
        <v>280</v>
      </c>
      <c r="F41" s="79">
        <f>-SUM('Raw FS'!J13:J14)</f>
        <v>192</v>
      </c>
      <c r="G41" s="79">
        <f>-SUM('Raw FS'!K13:K14)</f>
        <v>388</v>
      </c>
      <c r="H41" s="79">
        <f>-SUM('Raw FS'!L13:L14)</f>
        <v>1208</v>
      </c>
      <c r="I41" s="79">
        <f>-SUM('Raw FS'!M13:M14)</f>
        <v>2185</v>
      </c>
    </row>
    <row r="42" spans="1:9" x14ac:dyDescent="0.3">
      <c r="B42" t="s">
        <v>208</v>
      </c>
      <c r="E42" s="79"/>
      <c r="F42" s="79">
        <f>F19-E19</f>
        <v>2739</v>
      </c>
      <c r="G42" s="79">
        <f t="shared" ref="G42:I42" si="7">G19-F19</f>
        <v>691</v>
      </c>
      <c r="H42" s="79">
        <f t="shared" si="7"/>
        <v>-219</v>
      </c>
      <c r="I42" s="79">
        <f t="shared" si="7"/>
        <v>-255</v>
      </c>
    </row>
    <row r="43" spans="1:9" x14ac:dyDescent="0.3">
      <c r="E43" s="63"/>
      <c r="F43" s="63"/>
      <c r="G43" s="63"/>
      <c r="H43" s="63"/>
      <c r="I43" s="63"/>
    </row>
    <row r="44" spans="1:9" x14ac:dyDescent="0.3">
      <c r="B44" t="s">
        <v>204</v>
      </c>
      <c r="E44" s="71">
        <f>E35</f>
        <v>2449.4600000000014</v>
      </c>
      <c r="F44" s="71">
        <f t="shared" ref="F44:I44" si="8">F35</f>
        <v>1601.7699999999995</v>
      </c>
      <c r="G44" s="71">
        <f t="shared" si="8"/>
        <v>3127.7999999999993</v>
      </c>
      <c r="H44" s="71">
        <f t="shared" si="8"/>
        <v>2556.2800000000007</v>
      </c>
      <c r="I44" s="71">
        <f t="shared" si="8"/>
        <v>2898.02</v>
      </c>
    </row>
    <row r="45" spans="1:9" x14ac:dyDescent="0.3">
      <c r="B45" t="s">
        <v>209</v>
      </c>
      <c r="E45" s="80">
        <v>0.25</v>
      </c>
      <c r="F45" s="80">
        <v>0.25</v>
      </c>
      <c r="G45" s="80">
        <v>0.25</v>
      </c>
      <c r="H45" s="80">
        <v>0.25</v>
      </c>
      <c r="I45" s="80">
        <v>0.25</v>
      </c>
    </row>
    <row r="46" spans="1:9" x14ac:dyDescent="0.3">
      <c r="B46" t="s">
        <v>211</v>
      </c>
      <c r="E46" s="63">
        <f>E44*(1-E45)</f>
        <v>1837.0950000000012</v>
      </c>
      <c r="F46" s="63">
        <f t="shared" ref="F46:I46" si="9">F44*(1-F45)</f>
        <v>1201.3274999999996</v>
      </c>
      <c r="G46" s="63">
        <f t="shared" si="9"/>
        <v>2345.8499999999995</v>
      </c>
      <c r="H46" s="63">
        <f t="shared" si="9"/>
        <v>1917.2100000000005</v>
      </c>
      <c r="I46" s="63">
        <f t="shared" si="9"/>
        <v>2173.5149999999999</v>
      </c>
    </row>
    <row r="47" spans="1:9" x14ac:dyDescent="0.3">
      <c r="E47" s="63"/>
      <c r="F47" s="63"/>
      <c r="G47" s="63"/>
      <c r="H47" s="63"/>
      <c r="I47" s="63"/>
    </row>
    <row r="48" spans="1:9" ht="15" thickBot="1" x14ac:dyDescent="0.35">
      <c r="B48" t="s">
        <v>210</v>
      </c>
      <c r="E48" s="81"/>
      <c r="F48" s="81">
        <f>SUM(F41:F42)</f>
        <v>2931</v>
      </c>
      <c r="G48" s="81">
        <f t="shared" ref="G48:I48" si="10">SUM(G41:G42)</f>
        <v>1079</v>
      </c>
      <c r="H48" s="81">
        <f t="shared" si="10"/>
        <v>989</v>
      </c>
      <c r="I48" s="81">
        <f t="shared" si="10"/>
        <v>1930</v>
      </c>
    </row>
    <row r="49" spans="2:9" ht="15" thickBot="1" x14ac:dyDescent="0.35">
      <c r="B49" s="2" t="s">
        <v>212</v>
      </c>
      <c r="C49" s="2"/>
      <c r="D49" s="2"/>
      <c r="E49" s="82"/>
      <c r="F49" s="83">
        <f>F48/F42</f>
        <v>1.0700985761226725</v>
      </c>
      <c r="G49" s="83">
        <f t="shared" ref="G49:I49" si="11">G48/G42</f>
        <v>1.5615050651230102</v>
      </c>
      <c r="H49" s="83">
        <f t="shared" si="11"/>
        <v>-4.5159817351598175</v>
      </c>
      <c r="I49" s="83">
        <f t="shared" si="11"/>
        <v>-7.5686274509803919</v>
      </c>
    </row>
    <row r="50" spans="2:9" ht="15" thickTop="1" x14ac:dyDescent="0.3"/>
    <row r="51" spans="2:9" x14ac:dyDescent="0.3">
      <c r="G51" s="77" t="s">
        <v>213</v>
      </c>
      <c r="H51" s="77"/>
      <c r="I51" s="78">
        <f>AVERAGE(F49:I49)</f>
        <v>-2.3632513862236317</v>
      </c>
    </row>
    <row r="52" spans="2:9" x14ac:dyDescent="0.3">
      <c r="G52" s="77" t="s">
        <v>214</v>
      </c>
      <c r="H52" s="77"/>
      <c r="I52" s="78">
        <f>MEDIAN(F49:I49)</f>
        <v>-1.7229415795185723</v>
      </c>
    </row>
    <row r="54" spans="2:9" x14ac:dyDescent="0.3">
      <c r="B54" s="61" t="s">
        <v>215</v>
      </c>
      <c r="C54" s="61"/>
      <c r="D54" s="61"/>
      <c r="E54" s="62">
        <v>44256</v>
      </c>
      <c r="F54" s="62">
        <v>44621</v>
      </c>
      <c r="G54" s="62">
        <v>44986</v>
      </c>
      <c r="H54" s="62">
        <v>45352</v>
      </c>
      <c r="I54" s="62">
        <v>45717</v>
      </c>
    </row>
    <row r="56" spans="2:9" x14ac:dyDescent="0.3">
      <c r="B56" t="s">
        <v>205</v>
      </c>
      <c r="F56" s="4">
        <f>F37</f>
        <v>0.12739759802751924</v>
      </c>
      <c r="G56" s="4">
        <f t="shared" ref="G56:I56" si="12">G37</f>
        <v>0.2014426482900753</v>
      </c>
      <c r="H56" s="4">
        <f t="shared" si="12"/>
        <v>0.15061748762667929</v>
      </c>
      <c r="I56" s="4">
        <f t="shared" si="12"/>
        <v>0.15081286427976687</v>
      </c>
    </row>
    <row r="57" spans="2:9" x14ac:dyDescent="0.3">
      <c r="B57" t="s">
        <v>212</v>
      </c>
      <c r="F57" s="4">
        <f>F49</f>
        <v>1.0700985761226725</v>
      </c>
      <c r="G57" s="4">
        <f t="shared" ref="G57:I57" si="13">G49</f>
        <v>1.5615050651230102</v>
      </c>
      <c r="H57" s="4">
        <f t="shared" si="13"/>
        <v>-4.5159817351598175</v>
      </c>
      <c r="I57" s="4">
        <f t="shared" si="13"/>
        <v>-7.5686274509803919</v>
      </c>
    </row>
    <row r="59" spans="2:9" x14ac:dyDescent="0.3">
      <c r="B59" t="s">
        <v>216</v>
      </c>
      <c r="F59" s="4">
        <f>F56*F57</f>
        <v>0.13632798825069692</v>
      </c>
      <c r="G59" s="4">
        <f t="shared" ref="G59:I59" si="14">G56*G57</f>
        <v>0.31455371563674567</v>
      </c>
      <c r="H59" s="4">
        <f t="shared" si="14"/>
        <v>-0.68018582311774345</v>
      </c>
      <c r="I59" s="4">
        <f t="shared" si="14"/>
        <v>-1.1414463845488236</v>
      </c>
    </row>
    <row r="61" spans="2:9" x14ac:dyDescent="0.3">
      <c r="G61" s="77" t="s">
        <v>213</v>
      </c>
      <c r="H61" s="77"/>
      <c r="I61" s="78">
        <f>AVERAGE(F59:I59)</f>
        <v>-0.34268762594478114</v>
      </c>
    </row>
    <row r="62" spans="2:9" x14ac:dyDescent="0.3">
      <c r="G62" s="77" t="s">
        <v>214</v>
      </c>
      <c r="H62" s="77"/>
      <c r="I62" s="78">
        <f>MEDIAN(F59:I59)</f>
        <v>-0.27192891743352327</v>
      </c>
    </row>
  </sheetData>
  <pageMargins left="0.7" right="0.7" top="0.75" bottom="0.75" header="0.3" footer="0.3"/>
  <ignoredErrors>
    <ignoredError sqref="E41:I41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90370-B7E9-4EF1-8251-B7FCCB1061BE}">
  <dimension ref="B2:K40"/>
  <sheetViews>
    <sheetView showGridLines="0" tabSelected="1" workbookViewId="0">
      <selection activeCell="E48" sqref="E48"/>
    </sheetView>
  </sheetViews>
  <sheetFormatPr defaultRowHeight="14.4" outlineLevelRow="1" x14ac:dyDescent="0.3"/>
  <sheetData>
    <row r="2" spans="2:11" x14ac:dyDescent="0.3">
      <c r="B2" s="61" t="s">
        <v>217</v>
      </c>
      <c r="C2" s="61"/>
      <c r="D2" s="61"/>
      <c r="E2" s="61"/>
      <c r="F2" s="92">
        <f>'Cashflow Data'!N2</f>
        <v>45717</v>
      </c>
      <c r="G2" s="93">
        <f>F2+365</f>
        <v>46082</v>
      </c>
      <c r="H2" s="93">
        <f t="shared" ref="H2:K2" si="0">G2+365</f>
        <v>46447</v>
      </c>
      <c r="I2" s="93">
        <f t="shared" si="0"/>
        <v>46812</v>
      </c>
      <c r="J2" s="93">
        <f t="shared" si="0"/>
        <v>47177</v>
      </c>
      <c r="K2" s="93">
        <f t="shared" si="0"/>
        <v>47542</v>
      </c>
    </row>
    <row r="4" spans="2:11" x14ac:dyDescent="0.3">
      <c r="B4" s="63" t="s">
        <v>204</v>
      </c>
      <c r="C4" s="63"/>
      <c r="D4" s="63"/>
      <c r="E4" s="63"/>
      <c r="F4" s="63">
        <f>'Historical FS'!L16-'Historical FS'!L22</f>
        <v>4569.8700000000017</v>
      </c>
      <c r="G4" s="63">
        <f>F4*(1+$F$14)</f>
        <v>5518.1180250000025</v>
      </c>
      <c r="H4" s="63">
        <f t="shared" ref="H4:K4" si="1">G4*(1+$F$14)</f>
        <v>6663.1275151875034</v>
      </c>
      <c r="I4" s="63">
        <f t="shared" si="1"/>
        <v>8045.7264745889106</v>
      </c>
      <c r="J4" s="63">
        <f t="shared" si="1"/>
        <v>9715.2147180661104</v>
      </c>
      <c r="K4" s="63">
        <f t="shared" si="1"/>
        <v>11731.121772064829</v>
      </c>
    </row>
    <row r="5" spans="2:11" x14ac:dyDescent="0.3">
      <c r="B5" s="63" t="s">
        <v>218</v>
      </c>
      <c r="C5" s="63"/>
      <c r="D5" s="63"/>
      <c r="E5" s="63"/>
      <c r="F5" s="94">
        <v>0.25</v>
      </c>
      <c r="G5" s="94">
        <v>0.25</v>
      </c>
      <c r="H5" s="94">
        <v>0.25</v>
      </c>
      <c r="I5" s="94">
        <v>0.25</v>
      </c>
      <c r="J5" s="94">
        <v>0.25</v>
      </c>
      <c r="K5" s="94">
        <v>0.25</v>
      </c>
    </row>
    <row r="6" spans="2:11" x14ac:dyDescent="0.3">
      <c r="B6" s="63" t="s">
        <v>219</v>
      </c>
      <c r="C6" s="63"/>
      <c r="D6" s="63"/>
      <c r="E6" s="63"/>
      <c r="F6" s="63">
        <f>F4*(1-F5)</f>
        <v>3427.4025000000011</v>
      </c>
      <c r="G6" s="63">
        <f t="shared" ref="G6:K6" si="2">G4*(1-G5)</f>
        <v>4138.5885187500016</v>
      </c>
      <c r="H6" s="63">
        <f t="shared" si="2"/>
        <v>4997.345636390628</v>
      </c>
      <c r="I6" s="63">
        <f t="shared" si="2"/>
        <v>6034.2948559416827</v>
      </c>
      <c r="J6" s="63">
        <f t="shared" si="2"/>
        <v>7286.4110385495824</v>
      </c>
      <c r="K6" s="63">
        <f t="shared" si="2"/>
        <v>8798.3413290486224</v>
      </c>
    </row>
    <row r="7" spans="2:11" x14ac:dyDescent="0.3">
      <c r="B7" s="63" t="s">
        <v>220</v>
      </c>
      <c r="C7" s="63"/>
      <c r="D7" s="63"/>
      <c r="E7" s="63"/>
      <c r="F7" s="95">
        <v>0.4914</v>
      </c>
      <c r="G7" s="95">
        <v>0.4914</v>
      </c>
      <c r="H7" s="95">
        <v>0.4914</v>
      </c>
      <c r="I7" s="95">
        <v>0.4914</v>
      </c>
      <c r="J7" s="95">
        <v>0.4914</v>
      </c>
      <c r="K7" s="95">
        <v>0.4914</v>
      </c>
    </row>
    <row r="8" spans="2:11" x14ac:dyDescent="0.3">
      <c r="B8" s="63" t="s">
        <v>221</v>
      </c>
      <c r="C8" s="63"/>
      <c r="D8" s="63"/>
      <c r="E8" s="63"/>
      <c r="F8" s="63">
        <f>F6*(1-F7)</f>
        <v>1743.1769115000004</v>
      </c>
      <c r="G8" s="63">
        <f t="shared" ref="G8:K8" si="3">G6*(1-G7)</f>
        <v>2104.8861206362508</v>
      </c>
      <c r="H8" s="63">
        <f t="shared" si="3"/>
        <v>2541.6499906682729</v>
      </c>
      <c r="I8" s="63">
        <f t="shared" si="3"/>
        <v>3069.0423637319395</v>
      </c>
      <c r="J8" s="63">
        <f t="shared" si="3"/>
        <v>3705.8686542063174</v>
      </c>
      <c r="K8" s="63">
        <f t="shared" si="3"/>
        <v>4474.8363999541289</v>
      </c>
    </row>
    <row r="9" spans="2:11" x14ac:dyDescent="0.3">
      <c r="B9" s="63" t="s">
        <v>222</v>
      </c>
      <c r="C9" s="63"/>
      <c r="D9" s="63"/>
      <c r="E9" s="63"/>
      <c r="F9" s="63"/>
      <c r="G9" s="63">
        <v>0.5</v>
      </c>
      <c r="H9" s="63">
        <f>G9+1</f>
        <v>1.5</v>
      </c>
      <c r="I9" s="63">
        <f t="shared" ref="I9:K9" si="4">H9+1</f>
        <v>2.5</v>
      </c>
      <c r="J9" s="63">
        <f t="shared" si="4"/>
        <v>3.5</v>
      </c>
      <c r="K9" s="63">
        <f t="shared" si="4"/>
        <v>4.5</v>
      </c>
    </row>
    <row r="10" spans="2:11" x14ac:dyDescent="0.3">
      <c r="B10" s="63" t="s">
        <v>223</v>
      </c>
      <c r="C10" s="63"/>
      <c r="D10" s="63"/>
      <c r="E10" s="63"/>
      <c r="F10" s="63"/>
      <c r="G10" s="96">
        <f>1/(1+$F$16)^G9</f>
        <v>0.91271882204614041</v>
      </c>
      <c r="H10" s="96">
        <f t="shared" ref="H10:K10" si="5">1/(1+$F$16)^H9</f>
        <v>0.76034556984850088</v>
      </c>
      <c r="I10" s="96">
        <f t="shared" si="5"/>
        <v>0.6334101714832564</v>
      </c>
      <c r="J10" s="96">
        <f t="shared" si="5"/>
        <v>0.52766592092907072</v>
      </c>
      <c r="K10" s="96">
        <f t="shared" si="5"/>
        <v>0.43957507574897603</v>
      </c>
    </row>
    <row r="11" spans="2:11" ht="6" customHeight="1" thickBot="1" x14ac:dyDescent="0.35"/>
    <row r="12" spans="2:11" ht="15" thickBot="1" x14ac:dyDescent="0.35">
      <c r="B12" s="97" t="s">
        <v>224</v>
      </c>
      <c r="C12" s="97"/>
      <c r="D12" s="97"/>
      <c r="E12" s="97"/>
      <c r="F12" s="97"/>
      <c r="G12" s="97">
        <f>G8*G10</f>
        <v>1921.169180568389</v>
      </c>
      <c r="H12" s="97">
        <f t="shared" ref="H12:K12" si="6">H8*H10</f>
        <v>1932.5323105101049</v>
      </c>
      <c r="I12" s="97">
        <f t="shared" si="6"/>
        <v>1943.9626499008264</v>
      </c>
      <c r="J12" s="97">
        <f t="shared" si="6"/>
        <v>1955.4605962639523</v>
      </c>
      <c r="K12" s="97">
        <f t="shared" si="6"/>
        <v>1967.0265494741113</v>
      </c>
    </row>
    <row r="13" spans="2:11" ht="15" thickTop="1" x14ac:dyDescent="0.3"/>
    <row r="14" spans="2:11" outlineLevel="1" x14ac:dyDescent="0.3">
      <c r="B14" s="89" t="s">
        <v>226</v>
      </c>
      <c r="C14" s="89"/>
      <c r="D14" s="89"/>
      <c r="E14" s="89"/>
      <c r="F14" s="90">
        <v>0.20749999999999999</v>
      </c>
    </row>
    <row r="15" spans="2:11" outlineLevel="1" x14ac:dyDescent="0.3">
      <c r="B15" s="89" t="s">
        <v>227</v>
      </c>
      <c r="C15" s="89"/>
      <c r="D15" s="89"/>
      <c r="E15" s="89"/>
      <c r="F15" s="91">
        <v>5.7799999999999997E-2</v>
      </c>
    </row>
    <row r="16" spans="2:11" outlineLevel="1" x14ac:dyDescent="0.3">
      <c r="B16" s="89" t="s">
        <v>225</v>
      </c>
      <c r="C16" s="89"/>
      <c r="D16" s="89"/>
      <c r="E16" s="89"/>
      <c r="F16" s="91">
        <v>0.20039999999999999</v>
      </c>
    </row>
    <row r="18" spans="2:5" x14ac:dyDescent="0.3">
      <c r="B18" s="98" t="s">
        <v>228</v>
      </c>
      <c r="C18" s="98"/>
      <c r="D18" s="98"/>
      <c r="E18" s="98"/>
    </row>
    <row r="20" spans="2:5" x14ac:dyDescent="0.3">
      <c r="B20" t="s">
        <v>229</v>
      </c>
      <c r="E20">
        <f>K8*(1+F14)</f>
        <v>5403.3649529446111</v>
      </c>
    </row>
    <row r="21" spans="2:5" x14ac:dyDescent="0.3">
      <c r="B21" t="s">
        <v>225</v>
      </c>
      <c r="E21" s="4">
        <f>F16</f>
        <v>0.20039999999999999</v>
      </c>
    </row>
    <row r="22" spans="2:5" x14ac:dyDescent="0.3">
      <c r="B22" t="s">
        <v>230</v>
      </c>
      <c r="E22" s="4">
        <f>F15</f>
        <v>5.7799999999999997E-2</v>
      </c>
    </row>
    <row r="23" spans="2:5" ht="6" customHeight="1" x14ac:dyDescent="0.3"/>
    <row r="24" spans="2:5" ht="15" thickBot="1" x14ac:dyDescent="0.35">
      <c r="B24" s="99" t="s">
        <v>231</v>
      </c>
      <c r="C24" s="99"/>
      <c r="D24" s="99"/>
      <c r="E24" s="99">
        <f>E20/(E21-E22)</f>
        <v>37891.759838321253</v>
      </c>
    </row>
    <row r="25" spans="2:5" ht="15" thickTop="1" x14ac:dyDescent="0.3"/>
    <row r="27" spans="2:5" x14ac:dyDescent="0.3">
      <c r="B27" s="100" t="s">
        <v>236</v>
      </c>
      <c r="C27" s="100"/>
      <c r="D27" s="100"/>
      <c r="E27" s="100"/>
    </row>
    <row r="29" spans="2:5" x14ac:dyDescent="0.3">
      <c r="B29" t="s">
        <v>224</v>
      </c>
      <c r="E29">
        <f>SUM(G12:K12)</f>
        <v>9720.1512867173842</v>
      </c>
    </row>
    <row r="30" spans="2:5" x14ac:dyDescent="0.3">
      <c r="B30" t="s">
        <v>232</v>
      </c>
      <c r="E30">
        <f>E24*K10</f>
        <v>16656.273201192074</v>
      </c>
    </row>
    <row r="31" spans="2:5" x14ac:dyDescent="0.3">
      <c r="B31" s="2" t="s">
        <v>233</v>
      </c>
      <c r="C31" s="2"/>
      <c r="D31" s="2"/>
      <c r="E31" s="2">
        <f>SUM(E29:E30)</f>
        <v>26376.424487909459</v>
      </c>
    </row>
    <row r="33" spans="2:5" x14ac:dyDescent="0.3">
      <c r="B33" t="s">
        <v>234</v>
      </c>
      <c r="E33">
        <f>'Data Sheet'!K69</f>
        <v>781.98</v>
      </c>
    </row>
    <row r="34" spans="2:5" x14ac:dyDescent="0.3">
      <c r="B34" t="s">
        <v>235</v>
      </c>
      <c r="E34">
        <f>SUM('Data Room &gt;'!M5:M6)</f>
        <v>864</v>
      </c>
    </row>
    <row r="35" spans="2:5" x14ac:dyDescent="0.3">
      <c r="B35" s="2" t="s">
        <v>239</v>
      </c>
      <c r="C35" s="2"/>
      <c r="D35" s="2"/>
      <c r="E35" s="2">
        <f>E31+E33-E34</f>
        <v>26294.404487909458</v>
      </c>
    </row>
    <row r="36" spans="2:5" x14ac:dyDescent="0.3">
      <c r="B36" s="2"/>
      <c r="C36" s="2"/>
      <c r="D36" s="2"/>
      <c r="E36" s="2"/>
    </row>
    <row r="37" spans="2:5" x14ac:dyDescent="0.3">
      <c r="B37" s="2" t="s">
        <v>237</v>
      </c>
      <c r="C37" s="2"/>
      <c r="D37" s="2"/>
      <c r="E37" s="2">
        <f>'Data Sheet'!K57</f>
        <v>95.92</v>
      </c>
    </row>
    <row r="39" spans="2:5" ht="15" thickBot="1" x14ac:dyDescent="0.35">
      <c r="B39" s="101" t="s">
        <v>238</v>
      </c>
      <c r="C39" s="101"/>
      <c r="D39" s="101"/>
      <c r="E39" s="101">
        <f>E35/E37</f>
        <v>274.12848715501934</v>
      </c>
    </row>
    <row r="40" spans="2:5" ht="15" thickTop="1" x14ac:dyDescent="0.3"/>
  </sheetData>
  <mergeCells count="1">
    <mergeCell ref="B27:E27"/>
  </mergeCells>
  <pageMargins left="0.7" right="0.7" top="0.75" bottom="0.75" header="0.3" footer="0.3"/>
  <pageSetup orientation="portrait" r:id="rId1"/>
  <ignoredErrors>
    <ignoredError sqref="E34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CACBF-A6C0-42EE-B7D1-B58D7044F487}">
  <sheetPr>
    <tabColor theme="0"/>
  </sheetPr>
  <dimension ref="A2:M104"/>
  <sheetViews>
    <sheetView showGridLines="0" topLeftCell="A20" zoomScale="94" zoomScaleNormal="90" workbookViewId="0">
      <selection activeCell="E118" sqref="E118"/>
    </sheetView>
  </sheetViews>
  <sheetFormatPr defaultColWidth="15.77734375" defaultRowHeight="14.4" outlineLevelRow="1" x14ac:dyDescent="0.3"/>
  <cols>
    <col min="1" max="1" width="2.5546875" customWidth="1"/>
    <col min="2" max="2" width="31" customWidth="1"/>
    <col min="3" max="12" width="15.77734375" customWidth="1"/>
  </cols>
  <sheetData>
    <row r="2" spans="1:13" x14ac:dyDescent="0.3">
      <c r="B2" s="84" t="str">
        <f>"Historical Financial Statements - "&amp;'Data Sheet'!B1</f>
        <v>Historical Financial Statements - ASIAN PAINTS LTD</v>
      </c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</row>
    <row r="3" spans="1:13" x14ac:dyDescent="0.3">
      <c r="B3" s="15" t="s">
        <v>55</v>
      </c>
      <c r="C3" s="16">
        <f>'Data Sheet'!B16</f>
        <v>42460</v>
      </c>
      <c r="D3" s="16">
        <f>'Data Sheet'!C16</f>
        <v>42825</v>
      </c>
      <c r="E3" s="16">
        <f>'Data Sheet'!D16</f>
        <v>43190</v>
      </c>
      <c r="F3" s="16">
        <f>'Data Sheet'!E16</f>
        <v>43555</v>
      </c>
      <c r="G3" s="16">
        <f>'Data Sheet'!F16</f>
        <v>43921</v>
      </c>
      <c r="H3" s="16">
        <f>'Data Sheet'!G16</f>
        <v>44286</v>
      </c>
      <c r="I3" s="16">
        <f>'Data Sheet'!H16</f>
        <v>44651</v>
      </c>
      <c r="J3" s="16">
        <f>'Data Sheet'!I16</f>
        <v>45016</v>
      </c>
      <c r="K3" s="16">
        <f>'Data Sheet'!J16</f>
        <v>45382</v>
      </c>
      <c r="L3" s="16">
        <f>'Data Sheet'!K16</f>
        <v>45747</v>
      </c>
      <c r="M3" s="17" t="s">
        <v>56</v>
      </c>
    </row>
    <row r="4" spans="1:13" s="2" customFormat="1" x14ac:dyDescent="0.3">
      <c r="A4" s="33" t="s">
        <v>57</v>
      </c>
      <c r="B4" s="33" t="s">
        <v>58</v>
      </c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</row>
    <row r="5" spans="1:13" outlineLevel="1" x14ac:dyDescent="0.3">
      <c r="B5" s="2" t="s">
        <v>1</v>
      </c>
      <c r="C5" s="23">
        <f>IFERROR('Data Sheet'!B17,0)</f>
        <v>14271.49</v>
      </c>
      <c r="D5" s="23">
        <f>IFERROR('Data Sheet'!C17,0)</f>
        <v>15061.99</v>
      </c>
      <c r="E5" s="23">
        <f>IFERROR('Data Sheet'!D17,0)</f>
        <v>16824.55</v>
      </c>
      <c r="F5" s="23">
        <f>IFERROR('Data Sheet'!E17,0)</f>
        <v>19240.13</v>
      </c>
      <c r="G5" s="23">
        <f>IFERROR('Data Sheet'!F17,0)</f>
        <v>20211.25</v>
      </c>
      <c r="H5" s="23">
        <f>IFERROR('Data Sheet'!G17,0)</f>
        <v>21712.79</v>
      </c>
      <c r="I5" s="23">
        <f>IFERROR('Data Sheet'!H17,0)</f>
        <v>29101.279999999999</v>
      </c>
      <c r="J5" s="23">
        <f>IFERROR('Data Sheet'!I17,0)</f>
        <v>34488.589999999997</v>
      </c>
      <c r="K5" s="23">
        <f>IFERROR('Data Sheet'!J17,0)</f>
        <v>35494.730000000003</v>
      </c>
      <c r="L5" s="23">
        <f>IFERROR('Data Sheet'!K17,0)</f>
        <v>33905.620000000003</v>
      </c>
      <c r="M5" s="22">
        <f>IFERROR(SUM('Data Sheet'!H42:K42),0)</f>
        <v>33874.44</v>
      </c>
    </row>
    <row r="6" spans="1:13" outlineLevel="1" x14ac:dyDescent="0.3">
      <c r="B6" s="18" t="s">
        <v>10</v>
      </c>
      <c r="C6" s="19" t="str">
        <f>"-"</f>
        <v>-</v>
      </c>
      <c r="D6" s="20">
        <f>IFERROR((D5-C5)/C5,0)</f>
        <v>5.5390151974320831E-2</v>
      </c>
      <c r="E6" s="20">
        <f t="shared" ref="E6:M6" si="0">IFERROR((E5-D5)/D5,0)</f>
        <v>0.11702039371955496</v>
      </c>
      <c r="F6" s="20">
        <f t="shared" si="0"/>
        <v>0.14357471670861935</v>
      </c>
      <c r="G6" s="20">
        <f t="shared" si="0"/>
        <v>5.0473671435691904E-2</v>
      </c>
      <c r="H6" s="20">
        <f t="shared" si="0"/>
        <v>7.4292287711052063E-2</v>
      </c>
      <c r="I6" s="20">
        <f t="shared" si="0"/>
        <v>0.34028284711453471</v>
      </c>
      <c r="J6" s="20">
        <f t="shared" si="0"/>
        <v>0.18512278497715556</v>
      </c>
      <c r="K6" s="20">
        <f t="shared" si="0"/>
        <v>2.9173126532572275E-2</v>
      </c>
      <c r="L6" s="20">
        <f t="shared" si="0"/>
        <v>-4.4770308155605086E-2</v>
      </c>
      <c r="M6" s="20">
        <f t="shared" si="0"/>
        <v>-9.1961155702211873E-4</v>
      </c>
    </row>
    <row r="7" spans="1:13" outlineLevel="1" x14ac:dyDescent="0.3"/>
    <row r="8" spans="1:13" outlineLevel="1" x14ac:dyDescent="0.3">
      <c r="B8" s="2" t="s">
        <v>59</v>
      </c>
      <c r="C8" s="22">
        <f>IFERROR(SUM('Data Sheet'!B18,'Data Sheet'!B20:B22,-1*'Data Sheet'!B19),0)</f>
        <v>9413.8399999999983</v>
      </c>
      <c r="D8" s="22">
        <f>IFERROR(SUM('Data Sheet'!C18:C22),0)</f>
        <v>10789.86</v>
      </c>
      <c r="E8" s="22">
        <f>IFERROR(SUM('Data Sheet'!D18:D22),0)</f>
        <v>10909.91</v>
      </c>
      <c r="F8" s="22">
        <f>IFERROR(SUM('Data Sheet'!E18:E22),0)</f>
        <v>13492.33</v>
      </c>
      <c r="G8" s="22">
        <f>IFERROR(SUM('Data Sheet'!F18:F22),0)</f>
        <v>13636.32</v>
      </c>
      <c r="H8" s="22">
        <f>IFERROR(SUM('Data Sheet'!G18:G22),0)</f>
        <v>14219.97</v>
      </c>
      <c r="I8" s="22">
        <f>IFERROR(SUM('Data Sheet'!H18:H22),0)</f>
        <v>23240.510000000002</v>
      </c>
      <c r="J8" s="22">
        <f>IFERROR(SUM('Data Sheet'!I18:I22),0)</f>
        <v>24386.16</v>
      </c>
      <c r="K8" s="22">
        <f>IFERROR(SUM('Data Sheet'!J18:J22),0)</f>
        <v>22282.39</v>
      </c>
      <c r="L8" s="22">
        <f>IFERROR(SUM('Data Sheet'!K18:K22),0)</f>
        <v>23151.27</v>
      </c>
      <c r="M8" s="22">
        <f>IFERROR(SUM('Data Sheet'!H43:K43),0)</f>
        <v>27937.03</v>
      </c>
    </row>
    <row r="9" spans="1:13" outlineLevel="1" x14ac:dyDescent="0.3">
      <c r="B9" s="18" t="s">
        <v>60</v>
      </c>
      <c r="C9" s="4">
        <f>C8/C5</f>
        <v>0.65962558919916547</v>
      </c>
      <c r="D9" s="4">
        <f t="shared" ref="D9:M9" si="1">D8/D5</f>
        <v>0.71636350840758767</v>
      </c>
      <c r="E9" s="4">
        <f t="shared" si="1"/>
        <v>0.6484518159475291</v>
      </c>
      <c r="F9" s="4">
        <f t="shared" si="1"/>
        <v>0.70125981477256127</v>
      </c>
      <c r="G9" s="4">
        <f t="shared" si="1"/>
        <v>0.67468959119302363</v>
      </c>
      <c r="H9" s="4">
        <f t="shared" si="1"/>
        <v>0.65491215085670695</v>
      </c>
      <c r="I9" s="4">
        <f t="shared" si="1"/>
        <v>0.79860782755947513</v>
      </c>
      <c r="J9" s="4">
        <f t="shared" si="1"/>
        <v>0.70707906585917257</v>
      </c>
      <c r="K9" s="4">
        <f t="shared" si="1"/>
        <v>0.62776615007354608</v>
      </c>
      <c r="L9" s="4">
        <f t="shared" si="1"/>
        <v>0.68281512032518499</v>
      </c>
      <c r="M9" s="4">
        <f t="shared" si="1"/>
        <v>0.8247230064910297</v>
      </c>
    </row>
    <row r="10" spans="1:13" outlineLevel="1" x14ac:dyDescent="0.3"/>
    <row r="11" spans="1:13" outlineLevel="1" x14ac:dyDescent="0.3">
      <c r="B11" s="34" t="s">
        <v>61</v>
      </c>
      <c r="C11" s="35">
        <f>C5-C8</f>
        <v>4857.6500000000015</v>
      </c>
      <c r="D11" s="35">
        <f t="shared" ref="D11:M11" si="2">D5-D8</f>
        <v>4272.1299999999992</v>
      </c>
      <c r="E11" s="35">
        <f t="shared" si="2"/>
        <v>5914.6399999999994</v>
      </c>
      <c r="F11" s="35">
        <f t="shared" si="2"/>
        <v>5747.8000000000011</v>
      </c>
      <c r="G11" s="35">
        <f t="shared" si="2"/>
        <v>6574.93</v>
      </c>
      <c r="H11" s="35">
        <f t="shared" si="2"/>
        <v>7492.8200000000015</v>
      </c>
      <c r="I11" s="35">
        <f t="shared" si="2"/>
        <v>5860.7699999999968</v>
      </c>
      <c r="J11" s="35">
        <f t="shared" si="2"/>
        <v>10102.429999999997</v>
      </c>
      <c r="K11" s="35">
        <f t="shared" si="2"/>
        <v>13212.340000000004</v>
      </c>
      <c r="L11" s="35">
        <f t="shared" si="2"/>
        <v>10754.350000000002</v>
      </c>
      <c r="M11" s="35">
        <f t="shared" si="2"/>
        <v>5937.4100000000035</v>
      </c>
    </row>
    <row r="12" spans="1:13" outlineLevel="1" x14ac:dyDescent="0.3"/>
    <row r="13" spans="1:13" outlineLevel="1" x14ac:dyDescent="0.3">
      <c r="B13" s="2" t="s">
        <v>62</v>
      </c>
      <c r="C13" s="22">
        <f>IFERROR(SUM('Data Sheet'!B23:B24),0)</f>
        <v>2132.61</v>
      </c>
      <c r="D13" s="22">
        <f>IFERROR(SUM('Data Sheet'!C23:C24),0)</f>
        <v>2335.5699999999997</v>
      </c>
      <c r="E13" s="22">
        <f>IFERROR(SUM('Data Sheet'!D23:D24),0)</f>
        <v>2426.37</v>
      </c>
      <c r="F13" s="22">
        <f>IFERROR(SUM('Data Sheet'!E23:E24),0)</f>
        <v>2569.38</v>
      </c>
      <c r="G13" s="22">
        <f>IFERROR(SUM('Data Sheet'!F23:F24),0)</f>
        <v>2896.4100000000003</v>
      </c>
      <c r="H13" s="22">
        <f>IFERROR(SUM('Data Sheet'!G23:G24),0)</f>
        <v>2822.12</v>
      </c>
      <c r="I13" s="22">
        <f>IFERROR(SUM('Data Sheet'!H23:H24),0)</f>
        <v>3707.1</v>
      </c>
      <c r="J13" s="22">
        <f>IFERROR(SUM('Data Sheet'!I23:I24),0)</f>
        <v>4462.05</v>
      </c>
      <c r="K13" s="22">
        <f>IFERROR(SUM('Data Sheet'!J23:J24),0)</f>
        <v>4899.76</v>
      </c>
      <c r="L13" s="22">
        <f>IFERROR(SUM('Data Sheet'!K23:K24),0)</f>
        <v>5158.1400000000003</v>
      </c>
      <c r="M13" s="22">
        <f>IFERROR(SUM('Data Sheet'!L23:L24),0)</f>
        <v>0</v>
      </c>
    </row>
    <row r="14" spans="1:13" outlineLevel="1" x14ac:dyDescent="0.3">
      <c r="B14" s="18" t="s">
        <v>63</v>
      </c>
      <c r="C14" s="21">
        <f>C13/C5</f>
        <v>0.14943148893353111</v>
      </c>
      <c r="D14" s="21">
        <f t="shared" ref="D14:M14" si="3">D13/D5</f>
        <v>0.15506383950593511</v>
      </c>
      <c r="E14" s="21">
        <f t="shared" si="3"/>
        <v>0.14421604143944414</v>
      </c>
      <c r="F14" s="21">
        <f t="shared" si="3"/>
        <v>0.13354275672773522</v>
      </c>
      <c r="G14" s="21">
        <f t="shared" si="3"/>
        <v>0.14330682169583772</v>
      </c>
      <c r="H14" s="21">
        <f t="shared" si="3"/>
        <v>0.12997500551518251</v>
      </c>
      <c r="I14" s="21">
        <f t="shared" si="3"/>
        <v>0.1273861493377611</v>
      </c>
      <c r="J14" s="21">
        <f t="shared" si="3"/>
        <v>0.12937757095897515</v>
      </c>
      <c r="K14" s="21">
        <f t="shared" si="3"/>
        <v>0.1380419008681007</v>
      </c>
      <c r="L14" s="21">
        <f t="shared" si="3"/>
        <v>0.15213230137068723</v>
      </c>
      <c r="M14" s="21">
        <f t="shared" si="3"/>
        <v>0</v>
      </c>
    </row>
    <row r="15" spans="1:13" outlineLevel="1" x14ac:dyDescent="0.3"/>
    <row r="16" spans="1:13" outlineLevel="1" x14ac:dyDescent="0.3">
      <c r="B16" s="34" t="s">
        <v>64</v>
      </c>
      <c r="C16" s="35">
        <f>C11-C13</f>
        <v>2725.0400000000013</v>
      </c>
      <c r="D16" s="35">
        <f t="shared" ref="D16:M16" si="4">D11-D13</f>
        <v>1936.5599999999995</v>
      </c>
      <c r="E16" s="35">
        <f t="shared" si="4"/>
        <v>3488.2699999999995</v>
      </c>
      <c r="F16" s="35">
        <f t="shared" si="4"/>
        <v>3178.420000000001</v>
      </c>
      <c r="G16" s="35">
        <f t="shared" si="4"/>
        <v>3678.52</v>
      </c>
      <c r="H16" s="35">
        <f t="shared" si="4"/>
        <v>4670.7000000000016</v>
      </c>
      <c r="I16" s="35">
        <f t="shared" si="4"/>
        <v>2153.6699999999969</v>
      </c>
      <c r="J16" s="35">
        <f t="shared" si="4"/>
        <v>5640.3799999999965</v>
      </c>
      <c r="K16" s="35">
        <f t="shared" si="4"/>
        <v>8312.5800000000036</v>
      </c>
      <c r="L16" s="35">
        <f t="shared" si="4"/>
        <v>5596.2100000000019</v>
      </c>
      <c r="M16" s="35">
        <f t="shared" si="4"/>
        <v>5937.4100000000035</v>
      </c>
    </row>
    <row r="17" spans="2:13" outlineLevel="1" x14ac:dyDescent="0.3">
      <c r="B17" s="18" t="s">
        <v>66</v>
      </c>
      <c r="C17" s="4">
        <f>C16/C5</f>
        <v>0.19094292186730338</v>
      </c>
      <c r="D17" s="4">
        <f t="shared" ref="D17:M17" si="5">D16/D5</f>
        <v>0.12857265208647725</v>
      </c>
      <c r="E17" s="4">
        <f t="shared" si="5"/>
        <v>0.20733214261302677</v>
      </c>
      <c r="F17" s="4">
        <f t="shared" si="5"/>
        <v>0.16519742849970354</v>
      </c>
      <c r="G17" s="4">
        <f t="shared" si="5"/>
        <v>0.18200358711113859</v>
      </c>
      <c r="H17" s="4">
        <f t="shared" si="5"/>
        <v>0.21511284362811051</v>
      </c>
      <c r="I17" s="4">
        <f t="shared" si="5"/>
        <v>7.400602310276376E-2</v>
      </c>
      <c r="J17" s="4">
        <f t="shared" si="5"/>
        <v>0.16354336318185222</v>
      </c>
      <c r="K17" s="4">
        <f t="shared" si="5"/>
        <v>0.23419194905835325</v>
      </c>
      <c r="L17" s="4">
        <f t="shared" si="5"/>
        <v>0.16505257830412778</v>
      </c>
      <c r="M17" s="4">
        <f t="shared" si="5"/>
        <v>0.17527699350897027</v>
      </c>
    </row>
    <row r="18" spans="2:13" outlineLevel="1" x14ac:dyDescent="0.3"/>
    <row r="19" spans="2:13" outlineLevel="1" x14ac:dyDescent="0.3">
      <c r="B19" s="2" t="s">
        <v>6</v>
      </c>
      <c r="C19" s="22">
        <f>IFERROR('Data Sheet'!B27,0)</f>
        <v>49</v>
      </c>
      <c r="D19" s="22">
        <f>IFERROR('Data Sheet'!C27,0)</f>
        <v>37.33</v>
      </c>
      <c r="E19" s="22">
        <f>IFERROR('Data Sheet'!D27,0)</f>
        <v>41.47</v>
      </c>
      <c r="F19" s="22">
        <f>IFERROR('Data Sheet'!E27,0)</f>
        <v>110.47</v>
      </c>
      <c r="G19" s="22">
        <f>IFERROR('Data Sheet'!F27,0)</f>
        <v>102.33</v>
      </c>
      <c r="H19" s="22">
        <f>IFERROR('Data Sheet'!G27,0)</f>
        <v>91.63</v>
      </c>
      <c r="I19" s="22">
        <f>IFERROR('Data Sheet'!H27,0)</f>
        <v>95.41</v>
      </c>
      <c r="J19" s="22">
        <f>IFERROR('Data Sheet'!I27,0)</f>
        <v>144.44999999999999</v>
      </c>
      <c r="K19" s="22">
        <f>IFERROR('Data Sheet'!J27,0)</f>
        <v>205.17</v>
      </c>
      <c r="L19" s="22">
        <f>IFERROR('Data Sheet'!K27,0)</f>
        <v>227.02</v>
      </c>
      <c r="M19" s="22">
        <f>IFERROR(SUM('Data Sheet'!H46:K46),0)</f>
        <v>216.14</v>
      </c>
    </row>
    <row r="20" spans="2:13" outlineLevel="1" x14ac:dyDescent="0.3">
      <c r="B20" s="18" t="s">
        <v>65</v>
      </c>
      <c r="C20" s="21">
        <f>C19/C5</f>
        <v>3.4334186549547386E-3</v>
      </c>
      <c r="D20" s="21">
        <f t="shared" ref="D20:M20" si="6">D19/D5</f>
        <v>2.4784241657310885E-3</v>
      </c>
      <c r="E20" s="21">
        <f t="shared" si="6"/>
        <v>2.4648504714836358E-3</v>
      </c>
      <c r="F20" s="21">
        <f t="shared" si="6"/>
        <v>5.7416451967840128E-3</v>
      </c>
      <c r="G20" s="21">
        <f t="shared" si="6"/>
        <v>5.0630218319005502E-3</v>
      </c>
      <c r="H20" s="21">
        <f t="shared" si="6"/>
        <v>4.2200933182700148E-3</v>
      </c>
      <c r="I20" s="21">
        <f t="shared" si="6"/>
        <v>3.2785499469439143E-3</v>
      </c>
      <c r="J20" s="21">
        <f t="shared" si="6"/>
        <v>4.1883417095335005E-3</v>
      </c>
      <c r="K20" s="21">
        <f t="shared" si="6"/>
        <v>5.7802947085384216E-3</v>
      </c>
      <c r="L20" s="21">
        <f t="shared" si="6"/>
        <v>6.6956451467337858E-3</v>
      </c>
      <c r="M20" s="21">
        <f t="shared" si="6"/>
        <v>6.3806220855606756E-3</v>
      </c>
    </row>
    <row r="21" spans="2:13" outlineLevel="1" x14ac:dyDescent="0.3"/>
    <row r="22" spans="2:13" outlineLevel="1" x14ac:dyDescent="0.3">
      <c r="B22" s="2" t="s">
        <v>5</v>
      </c>
      <c r="C22" s="22">
        <f>IFERROR('Data Sheet'!B26,0)</f>
        <v>275.58</v>
      </c>
      <c r="D22" s="22">
        <f>IFERROR('Data Sheet'!C26,0)</f>
        <v>334.79</v>
      </c>
      <c r="E22" s="22">
        <f>IFERROR('Data Sheet'!D26,0)</f>
        <v>360.47</v>
      </c>
      <c r="F22" s="22">
        <f>IFERROR('Data Sheet'!E26,0)</f>
        <v>622.14</v>
      </c>
      <c r="G22" s="22">
        <f>IFERROR('Data Sheet'!F26,0)</f>
        <v>780.5</v>
      </c>
      <c r="H22" s="22">
        <f>IFERROR('Data Sheet'!G26,0)</f>
        <v>791.27</v>
      </c>
      <c r="I22" s="22">
        <f>IFERROR('Data Sheet'!H26,0)</f>
        <v>816.36</v>
      </c>
      <c r="J22" s="22">
        <f>IFERROR('Data Sheet'!I26,0)</f>
        <v>858.02</v>
      </c>
      <c r="K22" s="22">
        <f>IFERROR('Data Sheet'!J26,0)</f>
        <v>853</v>
      </c>
      <c r="L22" s="22">
        <f>IFERROR('Data Sheet'!K26,0)</f>
        <v>1026.3399999999999</v>
      </c>
      <c r="M22" s="22">
        <f>IFERROR(SUM('Data Sheet'!H45:K45),0)</f>
        <v>1099.5100000000002</v>
      </c>
    </row>
    <row r="23" spans="2:13" outlineLevel="1" x14ac:dyDescent="0.3">
      <c r="B23" s="18" t="s">
        <v>67</v>
      </c>
      <c r="C23" s="21">
        <f>IFERROR(C22/C5,0)</f>
        <v>1.9309826794539322E-2</v>
      </c>
      <c r="D23" s="21">
        <f t="shared" ref="D23:M23" si="7">IFERROR(D22/D5,0)</f>
        <v>2.2227474590011016E-2</v>
      </c>
      <c r="E23" s="21">
        <f t="shared" si="7"/>
        <v>2.1425238713665449E-2</v>
      </c>
      <c r="F23" s="21">
        <f t="shared" si="7"/>
        <v>3.2335540352378074E-2</v>
      </c>
      <c r="G23" s="21">
        <f t="shared" si="7"/>
        <v>3.8617106809326486E-2</v>
      </c>
      <c r="H23" s="21">
        <f t="shared" si="7"/>
        <v>3.6442576011650275E-2</v>
      </c>
      <c r="I23" s="21">
        <f t="shared" si="7"/>
        <v>2.8052374328551871E-2</v>
      </c>
      <c r="J23" s="21">
        <f t="shared" si="7"/>
        <v>2.4878372818372688E-2</v>
      </c>
      <c r="K23" s="21">
        <f t="shared" si="7"/>
        <v>2.4031736542297968E-2</v>
      </c>
      <c r="L23" s="21">
        <f t="shared" si="7"/>
        <v>3.0270497929251843E-2</v>
      </c>
      <c r="M23" s="21">
        <f t="shared" si="7"/>
        <v>3.2458396360205519E-2</v>
      </c>
    </row>
    <row r="24" spans="2:13" outlineLevel="1" x14ac:dyDescent="0.3"/>
    <row r="25" spans="2:13" outlineLevel="1" x14ac:dyDescent="0.3">
      <c r="B25" s="34" t="s">
        <v>69</v>
      </c>
      <c r="C25" s="35">
        <f>IFERROR(C16-SUM(C19,C22),0)</f>
        <v>2400.4600000000014</v>
      </c>
      <c r="D25" s="35">
        <f t="shared" ref="D25:M25" si="8">IFERROR(D16-SUM(D19,D22),0)</f>
        <v>1564.4399999999996</v>
      </c>
      <c r="E25" s="35">
        <f t="shared" si="8"/>
        <v>3086.3299999999995</v>
      </c>
      <c r="F25" s="35">
        <f t="shared" si="8"/>
        <v>2445.8100000000009</v>
      </c>
      <c r="G25" s="35">
        <f t="shared" si="8"/>
        <v>2795.69</v>
      </c>
      <c r="H25" s="35">
        <f t="shared" si="8"/>
        <v>3787.8000000000015</v>
      </c>
      <c r="I25" s="35">
        <f t="shared" si="8"/>
        <v>1241.8999999999969</v>
      </c>
      <c r="J25" s="35">
        <f t="shared" si="8"/>
        <v>4637.9099999999962</v>
      </c>
      <c r="K25" s="35">
        <f t="shared" si="8"/>
        <v>7254.4100000000035</v>
      </c>
      <c r="L25" s="35">
        <f t="shared" si="8"/>
        <v>4342.8500000000022</v>
      </c>
      <c r="M25" s="35">
        <f t="shared" si="8"/>
        <v>4621.7600000000039</v>
      </c>
    </row>
    <row r="26" spans="2:13" outlineLevel="1" x14ac:dyDescent="0.3">
      <c r="B26" s="18" t="s">
        <v>70</v>
      </c>
      <c r="C26" s="4">
        <f>IFERROR(C25/C5,0)</f>
        <v>0.16819967641780931</v>
      </c>
      <c r="D26" s="4">
        <f t="shared" ref="D26:M26" si="9">IFERROR(D25/D5,0)</f>
        <v>0.10386675333073515</v>
      </c>
      <c r="E26" s="4">
        <f t="shared" si="9"/>
        <v>0.1834420534278777</v>
      </c>
      <c r="F26" s="4">
        <f t="shared" si="9"/>
        <v>0.12712024295054145</v>
      </c>
      <c r="G26" s="4">
        <f t="shared" si="9"/>
        <v>0.13832345846991156</v>
      </c>
      <c r="H26" s="4">
        <f t="shared" si="9"/>
        <v>0.17445017429819021</v>
      </c>
      <c r="I26" s="4">
        <f t="shared" si="9"/>
        <v>4.2675098827267971E-2</v>
      </c>
      <c r="J26" s="4">
        <f t="shared" si="9"/>
        <v>0.13447664865394604</v>
      </c>
      <c r="K26" s="4">
        <f t="shared" si="9"/>
        <v>0.20437991780751685</v>
      </c>
      <c r="L26" s="4">
        <f t="shared" si="9"/>
        <v>0.12808643522814217</v>
      </c>
      <c r="M26" s="4">
        <f t="shared" si="9"/>
        <v>0.1364379750632041</v>
      </c>
    </row>
    <row r="27" spans="2:13" outlineLevel="1" x14ac:dyDescent="0.3"/>
    <row r="28" spans="2:13" outlineLevel="1" x14ac:dyDescent="0.3">
      <c r="B28" s="2" t="s">
        <v>8</v>
      </c>
      <c r="C28" s="24">
        <f>IFERROR('Data Sheet'!B29,0)</f>
        <v>844.49</v>
      </c>
      <c r="D28" s="24">
        <f>IFERROR('Data Sheet'!C29,0)</f>
        <v>943.29</v>
      </c>
      <c r="E28" s="24">
        <f>IFERROR('Data Sheet'!D29,0)</f>
        <v>1040.96</v>
      </c>
      <c r="F28" s="24">
        <f>IFERROR('Data Sheet'!E29,0)</f>
        <v>1098.06</v>
      </c>
      <c r="G28" s="24">
        <f>IFERROR('Data Sheet'!F29,0)</f>
        <v>854.85</v>
      </c>
      <c r="H28" s="24">
        <f>IFERROR('Data Sheet'!G29,0)</f>
        <v>1097.5999999999999</v>
      </c>
      <c r="I28" s="24">
        <f>IFERROR('Data Sheet'!H29,0)</f>
        <v>1102.9100000000001</v>
      </c>
      <c r="J28" s="24">
        <f>IFERROR('Data Sheet'!I29,0)</f>
        <v>1493.5</v>
      </c>
      <c r="K28" s="24">
        <f>IFERROR('Data Sheet'!J29,0)</f>
        <v>1790.08</v>
      </c>
      <c r="L28" s="24">
        <f>IFERROR('Data Sheet'!K29,0)</f>
        <v>1393.36</v>
      </c>
      <c r="M28" s="24">
        <f>IFERROR(SUM('Data Sheet'!H48:K48),0)</f>
        <v>1368.19</v>
      </c>
    </row>
    <row r="29" spans="2:13" outlineLevel="1" x14ac:dyDescent="0.3">
      <c r="B29" s="18" t="s">
        <v>71</v>
      </c>
      <c r="C29" s="21">
        <f>IFERROR(C28/C25,0)</f>
        <v>0.35180340434749985</v>
      </c>
      <c r="D29" s="21">
        <f t="shared" ref="D29:M29" si="10">IFERROR(D28/D25,0)</f>
        <v>0.60295696862775194</v>
      </c>
      <c r="E29" s="21">
        <f t="shared" si="10"/>
        <v>0.3372808481270636</v>
      </c>
      <c r="F29" s="21">
        <f t="shared" si="10"/>
        <v>0.4489555607344804</v>
      </c>
      <c r="G29" s="21">
        <f t="shared" si="10"/>
        <v>0.30577424535624481</v>
      </c>
      <c r="H29" s="21">
        <f t="shared" si="10"/>
        <v>0.289772427266487</v>
      </c>
      <c r="I29" s="21">
        <f t="shared" si="10"/>
        <v>0.88808277639101607</v>
      </c>
      <c r="J29" s="21">
        <f t="shared" si="10"/>
        <v>0.32202004782326549</v>
      </c>
      <c r="K29" s="21">
        <f t="shared" si="10"/>
        <v>0.24675748958219884</v>
      </c>
      <c r="L29" s="21">
        <f t="shared" si="10"/>
        <v>0.32084000138158103</v>
      </c>
      <c r="M29" s="21">
        <f t="shared" si="10"/>
        <v>0.29603224745551454</v>
      </c>
    </row>
    <row r="30" spans="2:13" outlineLevel="1" x14ac:dyDescent="0.3"/>
    <row r="31" spans="2:13" outlineLevel="1" x14ac:dyDescent="0.3">
      <c r="B31" s="34" t="s">
        <v>72</v>
      </c>
      <c r="C31" s="35">
        <f>IFERROR(C25-C28,0)</f>
        <v>1555.9700000000014</v>
      </c>
      <c r="D31" s="35">
        <f t="shared" ref="D31:L31" si="11">IFERROR(D25-D28,0)</f>
        <v>621.14999999999964</v>
      </c>
      <c r="E31" s="35">
        <f t="shared" si="11"/>
        <v>2045.3699999999994</v>
      </c>
      <c r="F31" s="35">
        <f t="shared" si="11"/>
        <v>1347.7500000000009</v>
      </c>
      <c r="G31" s="35">
        <f t="shared" si="11"/>
        <v>1940.8400000000001</v>
      </c>
      <c r="H31" s="35">
        <f t="shared" si="11"/>
        <v>2690.2000000000016</v>
      </c>
      <c r="I31" s="35">
        <f t="shared" si="11"/>
        <v>138.98999999999683</v>
      </c>
      <c r="J31" s="35">
        <f t="shared" si="11"/>
        <v>3144.4099999999962</v>
      </c>
      <c r="K31" s="35">
        <f t="shared" si="11"/>
        <v>5464.3300000000036</v>
      </c>
      <c r="L31" s="35">
        <f t="shared" si="11"/>
        <v>2949.4900000000025</v>
      </c>
      <c r="M31" s="35">
        <f>IFERROR(SUM('Data Sheet'!H49:K49),0)</f>
        <v>3597.02</v>
      </c>
    </row>
    <row r="32" spans="2:13" outlineLevel="1" x14ac:dyDescent="0.3">
      <c r="B32" s="18" t="s">
        <v>73</v>
      </c>
      <c r="C32" s="21">
        <f>IFERROR(C31/C5,0)</f>
        <v>0.10902645764387611</v>
      </c>
      <c r="D32" s="21">
        <f t="shared" ref="D32:M32" si="12">IFERROR(D31/D5,0)</f>
        <v>4.1239570601228633E-2</v>
      </c>
      <c r="E32" s="21">
        <f t="shared" si="12"/>
        <v>0.12157056206555299</v>
      </c>
      <c r="F32" s="21">
        <f t="shared" si="12"/>
        <v>7.0048902995977727E-2</v>
      </c>
      <c r="G32" s="21">
        <f t="shared" si="12"/>
        <v>9.6027707341208496E-2</v>
      </c>
      <c r="H32" s="21">
        <f t="shared" si="12"/>
        <v>0.12389932385474191</v>
      </c>
      <c r="I32" s="21">
        <f t="shared" si="12"/>
        <v>4.7760785779868385E-3</v>
      </c>
      <c r="J32" s="21">
        <f t="shared" si="12"/>
        <v>9.1172471823289858E-2</v>
      </c>
      <c r="K32" s="21">
        <f t="shared" si="12"/>
        <v>0.15394764236831787</v>
      </c>
      <c r="L32" s="21">
        <f t="shared" si="12"/>
        <v>8.6991183172583253E-2</v>
      </c>
      <c r="M32" s="21">
        <f t="shared" si="12"/>
        <v>0.10618684766449275</v>
      </c>
    </row>
    <row r="33" spans="1:13" outlineLevel="1" x14ac:dyDescent="0.3"/>
    <row r="34" spans="1:13" outlineLevel="1" x14ac:dyDescent="0.3">
      <c r="B34" s="2" t="s">
        <v>39</v>
      </c>
      <c r="C34" s="25">
        <f>IFERROR('Data Sheet'!B70/10000000,0)</f>
        <v>95.919779000000005</v>
      </c>
      <c r="D34" s="25">
        <f>IFERROR('Data Sheet'!C70/10000000,0)</f>
        <v>95.919779000000005</v>
      </c>
      <c r="E34" s="25">
        <f>IFERROR('Data Sheet'!D70/10000000,0)</f>
        <v>95.919779000000005</v>
      </c>
      <c r="F34" s="25">
        <f>IFERROR('Data Sheet'!E70/10000000,0)</f>
        <v>95.919779000000005</v>
      </c>
      <c r="G34" s="25">
        <f>IFERROR('Data Sheet'!F70/10000000,0)</f>
        <v>95.919779000000005</v>
      </c>
      <c r="H34" s="25">
        <f>IFERROR('Data Sheet'!G70/10000000,0)</f>
        <v>95.919779000000005</v>
      </c>
      <c r="I34" s="25">
        <f>IFERROR('Data Sheet'!H70/10000000,0)</f>
        <v>95.919779000000005</v>
      </c>
      <c r="J34" s="25">
        <f>IFERROR('Data Sheet'!I70/10000000,0)</f>
        <v>95.919779000000005</v>
      </c>
      <c r="K34" s="25">
        <f>IFERROR('Data Sheet'!J70/10000000,0)</f>
        <v>95.919779000000005</v>
      </c>
      <c r="L34" s="25">
        <f>IFERROR('Data Sheet'!K70/10000000,0)</f>
        <v>95.919779000000005</v>
      </c>
    </row>
    <row r="35" spans="1:13" outlineLevel="1" x14ac:dyDescent="0.3"/>
    <row r="36" spans="1:13" outlineLevel="1" x14ac:dyDescent="0.3">
      <c r="B36" s="2" t="s">
        <v>68</v>
      </c>
      <c r="C36" s="24">
        <f>IFERROR(C31/C34,0)</f>
        <v>16.221576156884193</v>
      </c>
      <c r="D36" s="24">
        <f t="shared" ref="D36:L36" si="13">IFERROR(D31/D34,0)</f>
        <v>6.475723844192756</v>
      </c>
      <c r="E36" s="24">
        <f t="shared" si="13"/>
        <v>21.323756386052551</v>
      </c>
      <c r="F36" s="24">
        <f t="shared" si="13"/>
        <v>14.050803849329144</v>
      </c>
      <c r="G36" s="24">
        <f t="shared" si="13"/>
        <v>20.23399157331253</v>
      </c>
      <c r="H36" s="24">
        <f t="shared" si="13"/>
        <v>28.046353192702846</v>
      </c>
      <c r="I36" s="24">
        <f t="shared" si="13"/>
        <v>1.4490233552351786</v>
      </c>
      <c r="J36" s="24">
        <f t="shared" si="13"/>
        <v>32.781664353084011</v>
      </c>
      <c r="K36" s="24">
        <f t="shared" si="13"/>
        <v>56.967708401413262</v>
      </c>
      <c r="L36" s="24">
        <f t="shared" si="13"/>
        <v>30.749549579341735</v>
      </c>
    </row>
    <row r="37" spans="1:13" s="18" customFormat="1" outlineLevel="1" x14ac:dyDescent="0.3">
      <c r="B37" s="18" t="s">
        <v>75</v>
      </c>
      <c r="C37" s="26"/>
      <c r="D37" s="21">
        <f>IFERROR((D36/C36)-1,0)</f>
        <v>-0.6007956451602543</v>
      </c>
      <c r="E37" s="21">
        <f t="shared" ref="E37:L37" si="14">IFERROR((E36/D36)-1,0)</f>
        <v>2.2928761168799818</v>
      </c>
      <c r="F37" s="21">
        <f t="shared" si="14"/>
        <v>-0.34107276434092548</v>
      </c>
      <c r="G37" s="21">
        <f t="shared" si="14"/>
        <v>0.44005935818957442</v>
      </c>
      <c r="H37" s="21">
        <f t="shared" si="14"/>
        <v>0.38610086354362094</v>
      </c>
      <c r="I37" s="21">
        <f t="shared" si="14"/>
        <v>-0.94833469630510869</v>
      </c>
      <c r="J37" s="21">
        <f t="shared" si="14"/>
        <v>21.623282250522113</v>
      </c>
      <c r="K37" s="21">
        <f t="shared" si="14"/>
        <v>0.73779182740164595</v>
      </c>
      <c r="L37" s="21">
        <f t="shared" si="14"/>
        <v>-0.46022842690686683</v>
      </c>
    </row>
    <row r="38" spans="1:13" outlineLevel="1" x14ac:dyDescent="0.3"/>
    <row r="39" spans="1:13" outlineLevel="1" x14ac:dyDescent="0.3">
      <c r="B39" s="2" t="s">
        <v>74</v>
      </c>
      <c r="C39" s="22">
        <f>IFERROR('Data Sheet'!B31/'Historical FS'!C34,0)</f>
        <v>7.5000172800648333</v>
      </c>
      <c r="D39" s="22">
        <f>IFERROR('Data Sheet'!C31/'Historical FS'!D34,0)</f>
        <v>10.300065432802967</v>
      </c>
      <c r="E39" s="22">
        <f>IFERROR('Data Sheet'!D31/'Historical FS'!E34,0)</f>
        <v>8.6999783433612787</v>
      </c>
      <c r="F39" s="22">
        <f>IFERROR('Data Sheet'!E31/'Historical FS'!F34,0)</f>
        <v>10.500024192090766</v>
      </c>
      <c r="G39" s="22">
        <f>IFERROR('Data Sheet'!F31/'Historical FS'!G34,0)</f>
        <v>12.000027648103734</v>
      </c>
      <c r="H39" s="22">
        <f>IFERROR('Data Sheet'!G31/'Historical FS'!H34,0)</f>
        <v>17.850020275797341</v>
      </c>
      <c r="I39" s="22">
        <f>IFERROR('Data Sheet'!H31/'Historical FS'!I34,0)</f>
        <v>19.150064972522504</v>
      </c>
      <c r="J39" s="22">
        <f>IFERROR('Data Sheet'!I31/'Historical FS'!J34,0)</f>
        <v>25.650079948578696</v>
      </c>
      <c r="K39" s="22">
        <f>IFERROR('Data Sheet'!J31/'Historical FS'!K34,0)</f>
        <v>33.300118425001791</v>
      </c>
      <c r="L39" s="22">
        <f>IFERROR('Data Sheet'!K31/'Historical FS'!L34,0)</f>
        <v>24.800098840928314</v>
      </c>
    </row>
    <row r="40" spans="1:13" s="18" customFormat="1" outlineLevel="1" x14ac:dyDescent="0.3">
      <c r="B40" s="18" t="s">
        <v>76</v>
      </c>
      <c r="C40" s="21">
        <f>IFERROR(C39/C36,0)</f>
        <v>0.46234824578880013</v>
      </c>
      <c r="D40" s="21">
        <f t="shared" ref="D40:L40" si="15">IFERROR(D39/D36,0)</f>
        <v>1.5905658858568792</v>
      </c>
      <c r="E40" s="21">
        <f t="shared" si="15"/>
        <v>0.40799464155629556</v>
      </c>
      <c r="F40" s="21">
        <f t="shared" si="15"/>
        <v>0.74728992765720592</v>
      </c>
      <c r="G40" s="21">
        <f t="shared" si="15"/>
        <v>0.59306279755157554</v>
      </c>
      <c r="H40" s="21">
        <f t="shared" si="15"/>
        <v>0.63644710430451235</v>
      </c>
      <c r="I40" s="21">
        <f t="shared" si="15"/>
        <v>13.215842866393565</v>
      </c>
      <c r="J40" s="21">
        <f t="shared" si="15"/>
        <v>0.78245203392687435</v>
      </c>
      <c r="K40" s="21">
        <f t="shared" si="15"/>
        <v>0.58454375925319257</v>
      </c>
      <c r="L40" s="21">
        <f t="shared" si="15"/>
        <v>0.80651909313135428</v>
      </c>
    </row>
    <row r="41" spans="1:13" outlineLevel="1" x14ac:dyDescent="0.3"/>
    <row r="42" spans="1:13" outlineLevel="1" x14ac:dyDescent="0.3">
      <c r="B42" s="2" t="s">
        <v>77</v>
      </c>
      <c r="C42" s="4">
        <f>IFERROR(IF(C36&gt;C39,1-C40,0),0)</f>
        <v>0.53765175421119982</v>
      </c>
      <c r="D42" s="4">
        <f t="shared" ref="D42:L42" si="16">IFERROR(IF(D36&gt;D39,1-D40,0),0)</f>
        <v>0</v>
      </c>
      <c r="E42" s="4">
        <f t="shared" si="16"/>
        <v>0.59200535844370439</v>
      </c>
      <c r="F42" s="4">
        <f t="shared" si="16"/>
        <v>0.25271007234279408</v>
      </c>
      <c r="G42" s="4">
        <f t="shared" si="16"/>
        <v>0.40693720244842446</v>
      </c>
      <c r="H42" s="4">
        <f t="shared" si="16"/>
        <v>0.36355289569548765</v>
      </c>
      <c r="I42" s="4">
        <f t="shared" si="16"/>
        <v>0</v>
      </c>
      <c r="J42" s="4">
        <f t="shared" si="16"/>
        <v>0.21754796607312565</v>
      </c>
      <c r="K42" s="4">
        <f t="shared" si="16"/>
        <v>0.41545624074680743</v>
      </c>
      <c r="L42" s="4">
        <f t="shared" si="16"/>
        <v>0.19348090686864572</v>
      </c>
    </row>
    <row r="44" spans="1:13" s="31" customFormat="1" x14ac:dyDescent="0.3">
      <c r="A44" s="32" t="s">
        <v>57</v>
      </c>
      <c r="B44" s="33" t="s">
        <v>78</v>
      </c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</row>
    <row r="45" spans="1:13" hidden="1" outlineLevel="1" x14ac:dyDescent="0.3">
      <c r="B45" t="s">
        <v>11</v>
      </c>
      <c r="C45" s="24">
        <f>IFERROR('Data Sheet'!B57,0)</f>
        <v>95.92</v>
      </c>
      <c r="D45" s="24">
        <f>IFERROR('Data Sheet'!C57,0)</f>
        <v>95.92</v>
      </c>
      <c r="E45" s="24">
        <f>IFERROR('Data Sheet'!D57,0)</f>
        <v>95.92</v>
      </c>
      <c r="F45" s="24">
        <f>IFERROR('Data Sheet'!E57,0)</f>
        <v>95.92</v>
      </c>
      <c r="G45" s="24">
        <f>IFERROR('Data Sheet'!F57,0)</f>
        <v>95.92</v>
      </c>
      <c r="H45" s="24">
        <f>IFERROR('Data Sheet'!G57,0)</f>
        <v>95.92</v>
      </c>
      <c r="I45" s="24">
        <f>IFERROR('Data Sheet'!H57,0)</f>
        <v>95.92</v>
      </c>
      <c r="J45" s="24">
        <f>IFERROR('Data Sheet'!I57,0)</f>
        <v>95.92</v>
      </c>
      <c r="K45" s="24">
        <f>IFERROR('Data Sheet'!J57,0)</f>
        <v>95.92</v>
      </c>
      <c r="L45" s="24">
        <f>IFERROR('Data Sheet'!K57,0)</f>
        <v>95.92</v>
      </c>
    </row>
    <row r="46" spans="1:13" hidden="1" outlineLevel="1" x14ac:dyDescent="0.3">
      <c r="B46" t="s">
        <v>12</v>
      </c>
      <c r="C46" s="24">
        <f>IFERROR('Data Sheet'!B58,0)</f>
        <v>6428.9</v>
      </c>
      <c r="D46" s="24">
        <f>IFERROR('Data Sheet'!C58,0)</f>
        <v>7507.97</v>
      </c>
      <c r="E46" s="24">
        <f>IFERROR('Data Sheet'!D58,0)</f>
        <v>8314.31</v>
      </c>
      <c r="F46" s="24">
        <f>IFERROR('Data Sheet'!E58,0)</f>
        <v>9374.6299999999992</v>
      </c>
      <c r="G46" s="24">
        <f>IFERROR('Data Sheet'!F58,0)</f>
        <v>10034.24</v>
      </c>
      <c r="H46" s="24">
        <f>IFERROR('Data Sheet'!G58,0)</f>
        <v>12710.37</v>
      </c>
      <c r="I46" s="24">
        <f>IFERROR('Data Sheet'!H58,0)</f>
        <v>13715.64</v>
      </c>
      <c r="J46" s="24">
        <f>IFERROR('Data Sheet'!I58,0)</f>
        <v>15896.31</v>
      </c>
      <c r="K46" s="24">
        <f>IFERROR('Data Sheet'!J58,0)</f>
        <v>18632.38</v>
      </c>
      <c r="L46" s="24">
        <f>IFERROR('Data Sheet'!K58,0)</f>
        <v>19303.89</v>
      </c>
    </row>
    <row r="47" spans="1:13" hidden="1" outlineLevel="1" x14ac:dyDescent="0.3">
      <c r="B47" t="s">
        <v>36</v>
      </c>
      <c r="C47" s="24">
        <f>IFERROR('Data Sheet'!B59,0)</f>
        <v>323.29000000000002</v>
      </c>
      <c r="D47" s="24">
        <f>IFERROR('Data Sheet'!C59,0)</f>
        <v>560.34</v>
      </c>
      <c r="E47" s="24">
        <f>IFERROR('Data Sheet'!D59,0)</f>
        <v>533.42999999999995</v>
      </c>
      <c r="F47" s="24">
        <f>IFERROR('Data Sheet'!E59,0)</f>
        <v>1319.6</v>
      </c>
      <c r="G47" s="24">
        <f>IFERROR('Data Sheet'!F59,0)</f>
        <v>1118.5</v>
      </c>
      <c r="H47" s="24">
        <f>IFERROR('Data Sheet'!G59,0)</f>
        <v>1093.1199999999999</v>
      </c>
      <c r="I47" s="24">
        <f>IFERROR('Data Sheet'!H59,0)</f>
        <v>1586.88</v>
      </c>
      <c r="J47" s="24">
        <f>IFERROR('Data Sheet'!I59,0)</f>
        <v>1932.62</v>
      </c>
      <c r="K47" s="24">
        <f>IFERROR('Data Sheet'!J59,0)</f>
        <v>2474.38</v>
      </c>
      <c r="L47" s="24">
        <f>IFERROR('Data Sheet'!K59,0)</f>
        <v>2290.29</v>
      </c>
    </row>
    <row r="48" spans="1:13" hidden="1" outlineLevel="1" x14ac:dyDescent="0.3">
      <c r="B48" t="s">
        <v>37</v>
      </c>
      <c r="C48" s="24">
        <f>IFERROR('Data Sheet'!B60,0)</f>
        <v>3710.92</v>
      </c>
      <c r="D48" s="24">
        <f>IFERROR('Data Sheet'!C60,0)</f>
        <v>4240.96</v>
      </c>
      <c r="E48" s="24">
        <f>IFERROR('Data Sheet'!D60,0)</f>
        <v>4819.82</v>
      </c>
      <c r="F48" s="24">
        <f>IFERROR('Data Sheet'!E60,0)</f>
        <v>5458.69</v>
      </c>
      <c r="G48" s="24">
        <f>IFERROR('Data Sheet'!F60,0)</f>
        <v>4889.3100000000004</v>
      </c>
      <c r="H48" s="24">
        <f>IFERROR('Data Sheet'!G60,0)</f>
        <v>6455.93</v>
      </c>
      <c r="I48" s="24">
        <f>IFERROR('Data Sheet'!H60,0)</f>
        <v>7559.99</v>
      </c>
      <c r="J48" s="24">
        <f>IFERROR('Data Sheet'!I60,0)</f>
        <v>7854.48</v>
      </c>
      <c r="K48" s="24">
        <f>IFERROR('Data Sheet'!J60,0)</f>
        <v>8698.09</v>
      </c>
      <c r="L48" s="24">
        <f>IFERROR('Data Sheet'!K60,0)</f>
        <v>8665.15</v>
      </c>
    </row>
    <row r="49" spans="2:12" s="2" customFormat="1" ht="13.8" hidden="1" customHeight="1" outlineLevel="1" x14ac:dyDescent="0.3">
      <c r="B49" s="2" t="s">
        <v>83</v>
      </c>
      <c r="C49" s="27">
        <f>IFERROR('Data Sheet'!B61,0)</f>
        <v>10559.03</v>
      </c>
      <c r="D49" s="27">
        <f>IFERROR('Data Sheet'!C61,0)</f>
        <v>12405.19</v>
      </c>
      <c r="E49" s="27">
        <f>IFERROR('Data Sheet'!D61,0)</f>
        <v>13763.48</v>
      </c>
      <c r="F49" s="27">
        <f>IFERROR('Data Sheet'!E61,0)</f>
        <v>16248.84</v>
      </c>
      <c r="G49" s="27">
        <f>IFERROR('Data Sheet'!F61,0)</f>
        <v>16137.97</v>
      </c>
      <c r="H49" s="27">
        <f>IFERROR('Data Sheet'!G61,0)</f>
        <v>20355.34</v>
      </c>
      <c r="I49" s="27">
        <f>IFERROR('Data Sheet'!H61,0)</f>
        <v>22958.43</v>
      </c>
      <c r="J49" s="27">
        <f>IFERROR('Data Sheet'!I61,0)</f>
        <v>25779.33</v>
      </c>
      <c r="K49" s="27">
        <f>IFERROR('Data Sheet'!J61,0)</f>
        <v>29900.77</v>
      </c>
      <c r="L49" s="27">
        <f>IFERROR('Data Sheet'!K61,0)</f>
        <v>30355.25</v>
      </c>
    </row>
    <row r="50" spans="2:12" hidden="1" outlineLevel="1" x14ac:dyDescent="0.3"/>
    <row r="51" spans="2:12" hidden="1" outlineLevel="1" x14ac:dyDescent="0.3">
      <c r="B51" t="s">
        <v>80</v>
      </c>
      <c r="C51" s="24">
        <f>IFERROR('Data Sheet'!B62,0)</f>
        <v>3416.35</v>
      </c>
      <c r="D51" s="24">
        <f>IFERROR('Data Sheet'!C62,0)</f>
        <v>3303.74</v>
      </c>
      <c r="E51" s="24">
        <f>IFERROR('Data Sheet'!D62,0)</f>
        <v>3732.24</v>
      </c>
      <c r="F51" s="24">
        <f>IFERROR('Data Sheet'!E62,0)</f>
        <v>6496.56</v>
      </c>
      <c r="G51" s="24">
        <f>IFERROR('Data Sheet'!F62,0)</f>
        <v>6272.31</v>
      </c>
      <c r="H51" s="24">
        <f>IFERROR('Data Sheet'!G62,0)</f>
        <v>5858.52</v>
      </c>
      <c r="I51" s="24">
        <f>IFERROR('Data Sheet'!H62,0)</f>
        <v>5519.06</v>
      </c>
      <c r="J51" s="24">
        <f>IFERROR('Data Sheet'!I62,0)</f>
        <v>5770.46</v>
      </c>
      <c r="K51" s="24">
        <f>IFERROR('Data Sheet'!J62,0)</f>
        <v>7146.62</v>
      </c>
      <c r="L51" s="24">
        <f>IFERROR('Data Sheet'!K62,0)</f>
        <v>9220.1</v>
      </c>
    </row>
    <row r="52" spans="2:12" hidden="1" outlineLevel="1" x14ac:dyDescent="0.3">
      <c r="B52" t="s">
        <v>15</v>
      </c>
      <c r="C52" s="24">
        <f>IFERROR('Data Sheet'!B63,0)</f>
        <v>106.59</v>
      </c>
      <c r="D52" s="24">
        <f>IFERROR('Data Sheet'!C63,0)</f>
        <v>257.54000000000002</v>
      </c>
      <c r="E52" s="24">
        <f>IFERROR('Data Sheet'!D63,0)</f>
        <v>1405.11</v>
      </c>
      <c r="F52" s="24">
        <f>IFERROR('Data Sheet'!E63,0)</f>
        <v>209.67</v>
      </c>
      <c r="G52" s="24">
        <f>IFERROR('Data Sheet'!F63,0)</f>
        <v>140.24</v>
      </c>
      <c r="H52" s="24">
        <f>IFERROR('Data Sheet'!G63,0)</f>
        <v>182.98</v>
      </c>
      <c r="I52" s="24">
        <f>IFERROR('Data Sheet'!H63,0)</f>
        <v>426.43</v>
      </c>
      <c r="J52" s="24">
        <f>IFERROR('Data Sheet'!I63,0)</f>
        <v>1019.59</v>
      </c>
      <c r="K52" s="24">
        <f>IFERROR('Data Sheet'!J63,0)</f>
        <v>2698.37</v>
      </c>
      <c r="L52" s="24">
        <f>IFERROR('Data Sheet'!K63,0)</f>
        <v>1254.49</v>
      </c>
    </row>
    <row r="53" spans="2:12" hidden="1" outlineLevel="1" x14ac:dyDescent="0.3">
      <c r="B53" t="s">
        <v>16</v>
      </c>
      <c r="C53" s="24">
        <f>IFERROR('Data Sheet'!B64,0)</f>
        <v>2712.13</v>
      </c>
      <c r="D53" s="24">
        <f>IFERROR('Data Sheet'!C64,0)</f>
        <v>2651.99</v>
      </c>
      <c r="E53" s="24">
        <f>IFERROR('Data Sheet'!D64,0)</f>
        <v>2140.6999999999998</v>
      </c>
      <c r="F53" s="24">
        <f>IFERROR('Data Sheet'!E64,0)</f>
        <v>2568.58</v>
      </c>
      <c r="G53" s="24">
        <f>IFERROR('Data Sheet'!F64,0)</f>
        <v>2018.85</v>
      </c>
      <c r="H53" s="24">
        <f>IFERROR('Data Sheet'!G64,0)</f>
        <v>4736.8</v>
      </c>
      <c r="I53" s="24">
        <f>IFERROR('Data Sheet'!H64,0)</f>
        <v>3247.53</v>
      </c>
      <c r="J53" s="24">
        <f>IFERROR('Data Sheet'!I64,0)</f>
        <v>4261.71</v>
      </c>
      <c r="K53" s="24">
        <f>IFERROR('Data Sheet'!J64,0)</f>
        <v>4587.92</v>
      </c>
      <c r="L53" s="24">
        <f>IFERROR('Data Sheet'!K64,0)</f>
        <v>4724.75</v>
      </c>
    </row>
    <row r="54" spans="2:12" hidden="1" outlineLevel="1" x14ac:dyDescent="0.3">
      <c r="B54" t="s">
        <v>38</v>
      </c>
      <c r="C54" s="24">
        <f>IFERROR('Data Sheet'!B65,0)</f>
        <v>4323.96</v>
      </c>
      <c r="D54" s="24">
        <f>IFERROR('Data Sheet'!C65,0)</f>
        <v>6191.92</v>
      </c>
      <c r="E54" s="24">
        <f>IFERROR('Data Sheet'!D65,0)</f>
        <v>6485.43</v>
      </c>
      <c r="F54" s="24">
        <f>IFERROR('Data Sheet'!E65,0)</f>
        <v>6974.03</v>
      </c>
      <c r="G54" s="24">
        <f>IFERROR('Data Sheet'!F65,0)</f>
        <v>7706.57</v>
      </c>
      <c r="H54" s="24">
        <f>IFERROR('Data Sheet'!G65,0)</f>
        <v>9577.0400000000009</v>
      </c>
      <c r="I54" s="24">
        <f>IFERROR('Data Sheet'!H65,0)</f>
        <v>13765.41</v>
      </c>
      <c r="J54" s="24">
        <f>IFERROR('Data Sheet'!I65,0)</f>
        <v>14727.57</v>
      </c>
      <c r="K54" s="24">
        <f>IFERROR('Data Sheet'!J65,0)</f>
        <v>15467.86</v>
      </c>
      <c r="L54" s="24">
        <f>IFERROR('Data Sheet'!K65,0)</f>
        <v>15155.91</v>
      </c>
    </row>
    <row r="55" spans="2:12" s="2" customFormat="1" hidden="1" outlineLevel="1" x14ac:dyDescent="0.3">
      <c r="B55" s="2" t="s">
        <v>81</v>
      </c>
      <c r="C55" s="27">
        <f>IFERROR(SUM('Data Sheet'!B62:B65)-SUM('Data Sheet'!B67:B69),0)</f>
        <v>6949.7499999999991</v>
      </c>
      <c r="D55" s="27">
        <f>IFERROR(SUM('Data Sheet'!C62:C65)-SUM('Data Sheet'!C67:C69),0)</f>
        <v>7530.4399999999987</v>
      </c>
      <c r="E55" s="27">
        <f>IFERROR(SUM('Data Sheet'!D62:D65)-SUM('Data Sheet'!D67:D69),0)</f>
        <v>8969.89</v>
      </c>
      <c r="F55" s="27">
        <f>IFERROR(SUM('Data Sheet'!E62:E65)-SUM('Data Sheet'!E67:E69),0)</f>
        <v>10746.77</v>
      </c>
      <c r="G55" s="27">
        <f>IFERROR(SUM('Data Sheet'!F62:F65)-SUM('Data Sheet'!F67:F69),0)</f>
        <v>10170.11</v>
      </c>
      <c r="H55" s="27">
        <f>IFERROR(SUM('Data Sheet'!G62:G65)-SUM('Data Sheet'!G67:G69),0)</f>
        <v>13343.82</v>
      </c>
      <c r="I55" s="27">
        <f>IFERROR(SUM('Data Sheet'!H62:H65)-SUM('Data Sheet'!H67:H69),0)</f>
        <v>12069.68</v>
      </c>
      <c r="J55" s="27">
        <f>IFERROR(SUM('Data Sheet'!I62:I65)-SUM('Data Sheet'!I67:I69),0)</f>
        <v>14087.930000000002</v>
      </c>
      <c r="K55" s="27">
        <f>IFERROR(SUM('Data Sheet'!J62:J65)-SUM('Data Sheet'!J67:J69),0)</f>
        <v>18004.300000000003</v>
      </c>
      <c r="L55" s="27">
        <f>IFERROR(SUM('Data Sheet'!K62:K65)-SUM('Data Sheet'!K67:K69),0)</f>
        <v>18540.349999999999</v>
      </c>
    </row>
    <row r="56" spans="2:12" hidden="1" outlineLevel="1" x14ac:dyDescent="0.3">
      <c r="B56" s="2"/>
    </row>
    <row r="57" spans="2:12" hidden="1" outlineLevel="1" x14ac:dyDescent="0.3">
      <c r="B57" t="s">
        <v>43</v>
      </c>
      <c r="C57" s="24">
        <f>IFERROR('Data Sheet'!B67,0)</f>
        <v>1186.8399999999999</v>
      </c>
      <c r="D57" s="24">
        <f>IFERROR('Data Sheet'!C67,0)</f>
        <v>1446.6</v>
      </c>
      <c r="E57" s="24">
        <f>IFERROR('Data Sheet'!D67,0)</f>
        <v>1730.63</v>
      </c>
      <c r="F57" s="24">
        <f>IFERROR('Data Sheet'!E67,0)</f>
        <v>1907.33</v>
      </c>
      <c r="G57" s="24">
        <f>IFERROR('Data Sheet'!F67,0)</f>
        <v>1795.22</v>
      </c>
      <c r="H57" s="24">
        <f>IFERROR('Data Sheet'!G67,0)</f>
        <v>2602.17</v>
      </c>
      <c r="I57" s="24">
        <f>IFERROR('Data Sheet'!H67,0)</f>
        <v>3871.44</v>
      </c>
      <c r="J57" s="24">
        <f>IFERROR('Data Sheet'!I67,0)</f>
        <v>4636.9399999999996</v>
      </c>
      <c r="K57" s="24">
        <f>IFERROR('Data Sheet'!J67,0)</f>
        <v>4889.05</v>
      </c>
      <c r="L57" s="24">
        <f>IFERROR('Data Sheet'!K67,0)</f>
        <v>4313.6499999999996</v>
      </c>
    </row>
    <row r="58" spans="2:12" hidden="1" outlineLevel="1" x14ac:dyDescent="0.3">
      <c r="B58" t="s">
        <v>30</v>
      </c>
      <c r="C58" s="24">
        <f>IFERROR('Data Sheet'!B68,0)</f>
        <v>1998.24</v>
      </c>
      <c r="D58" s="24">
        <f>IFERROR('Data Sheet'!C68,0)</f>
        <v>2626.94</v>
      </c>
      <c r="E58" s="24">
        <f>IFERROR('Data Sheet'!D68,0)</f>
        <v>2658.31</v>
      </c>
      <c r="F58" s="24">
        <f>IFERROR('Data Sheet'!E68,0)</f>
        <v>3149.86</v>
      </c>
      <c r="G58" s="24">
        <f>IFERROR('Data Sheet'!F68,0)</f>
        <v>3389.81</v>
      </c>
      <c r="H58" s="24">
        <f>IFERROR('Data Sheet'!G68,0)</f>
        <v>3798.6</v>
      </c>
      <c r="I58" s="24">
        <f>IFERROR('Data Sheet'!H68,0)</f>
        <v>6152.98</v>
      </c>
      <c r="J58" s="24">
        <f>IFERROR('Data Sheet'!I68,0)</f>
        <v>6210.64</v>
      </c>
      <c r="K58" s="24">
        <f>IFERROR('Data Sheet'!J68,0)</f>
        <v>5923.41</v>
      </c>
      <c r="L58" s="24">
        <f>IFERROR('Data Sheet'!K68,0)</f>
        <v>6719.27</v>
      </c>
    </row>
    <row r="59" spans="2:12" hidden="1" outlineLevel="1" x14ac:dyDescent="0.3">
      <c r="B59" t="s">
        <v>52</v>
      </c>
      <c r="C59" s="24">
        <f>IFERROR('Data Sheet'!B69,0)</f>
        <v>424.2</v>
      </c>
      <c r="D59" s="24">
        <f>IFERROR('Data Sheet'!C69,0)</f>
        <v>801.21</v>
      </c>
      <c r="E59" s="24">
        <f>IFERROR('Data Sheet'!D69,0)</f>
        <v>404.65</v>
      </c>
      <c r="F59" s="24">
        <f>IFERROR('Data Sheet'!E69,0)</f>
        <v>444.88</v>
      </c>
      <c r="G59" s="24">
        <f>IFERROR('Data Sheet'!F69,0)</f>
        <v>782.83</v>
      </c>
      <c r="H59" s="24">
        <f>IFERROR('Data Sheet'!G69,0)</f>
        <v>610.75</v>
      </c>
      <c r="I59" s="24">
        <f>IFERROR('Data Sheet'!H69,0)</f>
        <v>864.33</v>
      </c>
      <c r="J59" s="24">
        <f>IFERROR('Data Sheet'!I69,0)</f>
        <v>843.82</v>
      </c>
      <c r="K59" s="24">
        <f>IFERROR('Data Sheet'!J69,0)</f>
        <v>1084.01</v>
      </c>
      <c r="L59" s="24">
        <f>IFERROR('Data Sheet'!K69,0)</f>
        <v>781.98</v>
      </c>
    </row>
    <row r="60" spans="2:12" s="2" customFormat="1" hidden="1" outlineLevel="1" x14ac:dyDescent="0.3">
      <c r="B60" s="2" t="s">
        <v>82</v>
      </c>
      <c r="C60" s="27">
        <f>IFERROR(SUM(C57:C59),0)</f>
        <v>3609.2799999999997</v>
      </c>
      <c r="D60" s="27">
        <f t="shared" ref="D60:L60" si="17">IFERROR(SUM(D57:D59),0)</f>
        <v>4874.75</v>
      </c>
      <c r="E60" s="27">
        <f t="shared" si="17"/>
        <v>4793.59</v>
      </c>
      <c r="F60" s="27">
        <f t="shared" si="17"/>
        <v>5502.0700000000006</v>
      </c>
      <c r="G60" s="27">
        <f t="shared" si="17"/>
        <v>5967.86</v>
      </c>
      <c r="H60" s="27">
        <f t="shared" si="17"/>
        <v>7011.52</v>
      </c>
      <c r="I60" s="27">
        <f t="shared" si="17"/>
        <v>10888.75</v>
      </c>
      <c r="J60" s="27">
        <f t="shared" si="17"/>
        <v>11691.4</v>
      </c>
      <c r="K60" s="27">
        <f t="shared" si="17"/>
        <v>11896.47</v>
      </c>
      <c r="L60" s="27">
        <f t="shared" si="17"/>
        <v>11814.9</v>
      </c>
    </row>
    <row r="61" spans="2:12" hidden="1" outlineLevel="1" x14ac:dyDescent="0.3"/>
    <row r="62" spans="2:12" s="2" customFormat="1" hidden="1" outlineLevel="1" x14ac:dyDescent="0.3">
      <c r="B62" s="2" t="s">
        <v>79</v>
      </c>
      <c r="C62" s="27">
        <f>IFERROR(SUM(C55,C60),0)</f>
        <v>10559.029999999999</v>
      </c>
      <c r="D62" s="27">
        <f t="shared" ref="D62:L62" si="18">IFERROR(SUM(D55,D60),0)</f>
        <v>12405.189999999999</v>
      </c>
      <c r="E62" s="27">
        <f t="shared" si="18"/>
        <v>13763.48</v>
      </c>
      <c r="F62" s="27">
        <f t="shared" si="18"/>
        <v>16248.84</v>
      </c>
      <c r="G62" s="27">
        <f t="shared" si="18"/>
        <v>16137.970000000001</v>
      </c>
      <c r="H62" s="27">
        <f t="shared" si="18"/>
        <v>20355.34</v>
      </c>
      <c r="I62" s="27">
        <f t="shared" si="18"/>
        <v>22958.43</v>
      </c>
      <c r="J62" s="27">
        <f t="shared" si="18"/>
        <v>25779.33</v>
      </c>
      <c r="K62" s="27">
        <f t="shared" si="18"/>
        <v>29900.770000000004</v>
      </c>
      <c r="L62" s="27">
        <f t="shared" si="18"/>
        <v>30355.25</v>
      </c>
    </row>
    <row r="63" spans="2:12" hidden="1" outlineLevel="1" x14ac:dyDescent="0.3"/>
    <row r="64" spans="2:12" s="28" customFormat="1" hidden="1" outlineLevel="1" x14ac:dyDescent="0.3">
      <c r="B64" s="28" t="s">
        <v>84</v>
      </c>
      <c r="C64" s="28" t="b">
        <f>IF(C62=C49,TRUE,FALSE)</f>
        <v>1</v>
      </c>
      <c r="D64" s="28" t="b">
        <f t="shared" ref="D64:L64" si="19">IF(D62=D49,TRUE,FALSE)</f>
        <v>1</v>
      </c>
      <c r="E64" s="28" t="b">
        <f t="shared" si="19"/>
        <v>1</v>
      </c>
      <c r="F64" s="28" t="b">
        <f t="shared" si="19"/>
        <v>1</v>
      </c>
      <c r="G64" s="28" t="b">
        <f t="shared" si="19"/>
        <v>1</v>
      </c>
      <c r="H64" s="28" t="b">
        <f t="shared" si="19"/>
        <v>1</v>
      </c>
      <c r="I64" s="28" t="b">
        <f t="shared" si="19"/>
        <v>1</v>
      </c>
      <c r="J64" s="28" t="b">
        <f t="shared" si="19"/>
        <v>1</v>
      </c>
      <c r="K64" s="28" t="b">
        <f t="shared" si="19"/>
        <v>1</v>
      </c>
      <c r="L64" s="28" t="b">
        <f t="shared" si="19"/>
        <v>1</v>
      </c>
    </row>
    <row r="65" spans="1:13" collapsed="1" x14ac:dyDescent="0.3"/>
    <row r="66" spans="1:13" s="2" customFormat="1" x14ac:dyDescent="0.3">
      <c r="A66" s="33" t="s">
        <v>57</v>
      </c>
      <c r="B66" s="33" t="s">
        <v>114</v>
      </c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</row>
    <row r="67" spans="1:13" outlineLevel="1" x14ac:dyDescent="0.3">
      <c r="B67" s="2" t="s">
        <v>115</v>
      </c>
    </row>
    <row r="68" spans="1:13" outlineLevel="1" x14ac:dyDescent="0.3">
      <c r="B68" t="s">
        <v>86</v>
      </c>
      <c r="C68" s="24">
        <f>IFERROR('Cashflow Data'!E4,0)</f>
        <v>3502</v>
      </c>
      <c r="D68" s="24">
        <f>IFERROR('Cashflow Data'!F4,0)</f>
        <v>1662</v>
      </c>
      <c r="E68" s="24">
        <f>IFERROR('Cashflow Data'!G4,0)</f>
        <v>4091</v>
      </c>
      <c r="F68" s="24">
        <f>IFERROR('Cashflow Data'!H4,0)</f>
        <v>6167</v>
      </c>
      <c r="G68" s="24">
        <f>IFERROR('Cashflow Data'!I4,0)</f>
        <v>439</v>
      </c>
      <c r="H68" s="24">
        <f>IFERROR('Cashflow Data'!J4,0)</f>
        <v>1961</v>
      </c>
      <c r="I68" s="24">
        <f>IFERROR('Cashflow Data'!K4,0)</f>
        <v>2683</v>
      </c>
      <c r="J68" s="24">
        <f>IFERROR('Cashflow Data'!L4,0)</f>
        <v>5010</v>
      </c>
      <c r="K68" s="24">
        <f>IFERROR('Cashflow Data'!M4,0)</f>
        <v>8523</v>
      </c>
      <c r="L68" s="24">
        <f>IFERROR('Cashflow Data'!N4,0)</f>
        <v>8615</v>
      </c>
    </row>
    <row r="69" spans="1:13" outlineLevel="1" x14ac:dyDescent="0.3">
      <c r="B69" t="s">
        <v>43</v>
      </c>
      <c r="C69" s="24">
        <f>IFERROR('Cashflow Data'!E5,0)</f>
        <v>-678</v>
      </c>
      <c r="D69" s="24">
        <f>IFERROR('Cashflow Data'!F5,0)</f>
        <v>-199</v>
      </c>
      <c r="E69" s="24">
        <f>IFERROR('Cashflow Data'!G5,0)</f>
        <v>-1217</v>
      </c>
      <c r="F69" s="24">
        <f>IFERROR('Cashflow Data'!H5,0)</f>
        <v>164</v>
      </c>
      <c r="G69" s="24">
        <f>IFERROR('Cashflow Data'!I5,0)</f>
        <v>1168</v>
      </c>
      <c r="H69" s="24">
        <f>IFERROR('Cashflow Data'!J5,0)</f>
        <v>-142</v>
      </c>
      <c r="I69" s="24">
        <f>IFERROR('Cashflow Data'!K5,0)</f>
        <v>-1016</v>
      </c>
      <c r="J69" s="24">
        <f>IFERROR('Cashflow Data'!L5,0)</f>
        <v>-306</v>
      </c>
      <c r="K69" s="24">
        <f>IFERROR('Cashflow Data'!M5,0)</f>
        <v>-553</v>
      </c>
      <c r="L69" s="24">
        <f>IFERROR('Cashflow Data'!N5,0)</f>
        <v>388</v>
      </c>
    </row>
    <row r="70" spans="1:13" outlineLevel="1" x14ac:dyDescent="0.3">
      <c r="B70" t="s">
        <v>30</v>
      </c>
      <c r="C70" s="24">
        <f>IFERROR('Cashflow Data'!E6,0)</f>
        <v>-235</v>
      </c>
      <c r="D70" s="24">
        <f>IFERROR('Cashflow Data'!F6,0)</f>
        <v>-572</v>
      </c>
      <c r="E70" s="24">
        <f>IFERROR('Cashflow Data'!G6,0)</f>
        <v>-278</v>
      </c>
      <c r="F70" s="24">
        <f>IFERROR('Cashflow Data'!H6,0)</f>
        <v>966</v>
      </c>
      <c r="G70" s="24">
        <f>IFERROR('Cashflow Data'!I6,0)</f>
        <v>730</v>
      </c>
      <c r="H70" s="24">
        <f>IFERROR('Cashflow Data'!J6,0)</f>
        <v>-765</v>
      </c>
      <c r="I70" s="24">
        <f>IFERROR('Cashflow Data'!K6,0)</f>
        <v>-1201</v>
      </c>
      <c r="J70" s="24">
        <f>IFERROR('Cashflow Data'!L6,0)</f>
        <v>658</v>
      </c>
      <c r="K70" s="24">
        <f>IFERROR('Cashflow Data'!M6,0)</f>
        <v>-541</v>
      </c>
      <c r="L70" s="24">
        <f>IFERROR('Cashflow Data'!N6,0)</f>
        <v>257</v>
      </c>
    </row>
    <row r="71" spans="1:13" outlineLevel="1" x14ac:dyDescent="0.3">
      <c r="B71" t="s">
        <v>87</v>
      </c>
      <c r="C71" s="24">
        <f>IFERROR('Cashflow Data'!E7,0)</f>
        <v>76</v>
      </c>
      <c r="D71" s="24">
        <f>IFERROR('Cashflow Data'!F7,0)</f>
        <v>2314</v>
      </c>
      <c r="E71" s="24">
        <f>IFERROR('Cashflow Data'!G7,0)</f>
        <v>2764</v>
      </c>
      <c r="F71" s="24">
        <f>IFERROR('Cashflow Data'!H7,0)</f>
        <v>-725</v>
      </c>
      <c r="G71" s="24">
        <f>IFERROR('Cashflow Data'!I7,0)</f>
        <v>-2689</v>
      </c>
      <c r="H71" s="24">
        <f>IFERROR('Cashflow Data'!J7,0)</f>
        <v>4965</v>
      </c>
      <c r="I71" s="24">
        <f>IFERROR('Cashflow Data'!K7,0)</f>
        <v>5285</v>
      </c>
      <c r="J71" s="24">
        <f>IFERROR('Cashflow Data'!L7,0)</f>
        <v>-957</v>
      </c>
      <c r="K71" s="24">
        <f>IFERROR('Cashflow Data'!M7,0)</f>
        <v>315</v>
      </c>
      <c r="L71" s="24">
        <f>IFERROR('Cashflow Data'!N7,0)</f>
        <v>-56</v>
      </c>
    </row>
    <row r="72" spans="1:13" outlineLevel="1" x14ac:dyDescent="0.3">
      <c r="B72" t="s">
        <v>88</v>
      </c>
      <c r="C72" s="24">
        <f>IFERROR('Cashflow Data'!E8,0)</f>
        <v>-55</v>
      </c>
      <c r="D72" s="24">
        <f>IFERROR('Cashflow Data'!F8,0)</f>
        <v>0</v>
      </c>
      <c r="E72" s="24">
        <f>IFERROR('Cashflow Data'!G8,0)</f>
        <v>0</v>
      </c>
      <c r="F72" s="24">
        <f>IFERROR('Cashflow Data'!H8,0)</f>
        <v>0</v>
      </c>
      <c r="G72" s="24">
        <f>IFERROR('Cashflow Data'!I8,0)</f>
        <v>0</v>
      </c>
      <c r="H72" s="24">
        <f>IFERROR('Cashflow Data'!J8,0)</f>
        <v>0</v>
      </c>
      <c r="I72" s="24">
        <f>IFERROR('Cashflow Data'!K8,0)</f>
        <v>0</v>
      </c>
      <c r="J72" s="24">
        <f>IFERROR('Cashflow Data'!L8,0)</f>
        <v>0</v>
      </c>
      <c r="K72" s="24">
        <f>IFERROR('Cashflow Data'!M8,0)</f>
        <v>0</v>
      </c>
      <c r="L72" s="24">
        <f>IFERROR('Cashflow Data'!N8,0)</f>
        <v>0</v>
      </c>
    </row>
    <row r="73" spans="1:13" outlineLevel="1" x14ac:dyDescent="0.3">
      <c r="B73" t="s">
        <v>89</v>
      </c>
      <c r="C73" s="24">
        <f>IFERROR('Cashflow Data'!E9,0)</f>
        <v>115</v>
      </c>
      <c r="D73" s="24">
        <f>IFERROR('Cashflow Data'!F9,0)</f>
        <v>-1636</v>
      </c>
      <c r="E73" s="24">
        <f>IFERROR('Cashflow Data'!G9,0)</f>
        <v>-1217</v>
      </c>
      <c r="F73" s="24">
        <f>IFERROR('Cashflow Data'!H9,0)</f>
        <v>-97</v>
      </c>
      <c r="G73" s="24">
        <f>IFERROR('Cashflow Data'!I9,0)</f>
        <v>-1011</v>
      </c>
      <c r="H73" s="24">
        <f>IFERROR('Cashflow Data'!J9,0)</f>
        <v>725</v>
      </c>
      <c r="I73" s="24">
        <f>IFERROR('Cashflow Data'!K9,0)</f>
        <v>-314</v>
      </c>
      <c r="J73" s="24">
        <f>IFERROR('Cashflow Data'!L9,0)</f>
        <v>539</v>
      </c>
      <c r="K73" s="24">
        <f>IFERROR('Cashflow Data'!M9,0)</f>
        <v>1164</v>
      </c>
      <c r="L73" s="24">
        <f>IFERROR('Cashflow Data'!N9,0)</f>
        <v>583</v>
      </c>
    </row>
    <row r="74" spans="1:13" outlineLevel="1" x14ac:dyDescent="0.3">
      <c r="B74" t="s">
        <v>90</v>
      </c>
      <c r="C74" s="24">
        <f>IFERROR('Cashflow Data'!E10,0)</f>
        <v>-776</v>
      </c>
      <c r="D74" s="24">
        <f>IFERROR('Cashflow Data'!F10,0)</f>
        <v>-93</v>
      </c>
      <c r="E74" s="24">
        <f>IFERROR('Cashflow Data'!G10,0)</f>
        <v>52</v>
      </c>
      <c r="F74" s="24">
        <f>IFERROR('Cashflow Data'!H10,0)</f>
        <v>308</v>
      </c>
      <c r="G74" s="24">
        <f>IFERROR('Cashflow Data'!I10,0)</f>
        <v>-1801</v>
      </c>
      <c r="H74" s="24">
        <f>IFERROR('Cashflow Data'!J10,0)</f>
        <v>4783</v>
      </c>
      <c r="I74" s="24">
        <f>IFERROR('Cashflow Data'!K10,0)</f>
        <v>2755</v>
      </c>
      <c r="J74" s="24">
        <f>IFERROR('Cashflow Data'!L10,0)</f>
        <v>-67</v>
      </c>
      <c r="K74" s="24">
        <f>IFERROR('Cashflow Data'!M10,0)</f>
        <v>385</v>
      </c>
      <c r="L74" s="24">
        <f>IFERROR('Cashflow Data'!N10,0)</f>
        <v>1172</v>
      </c>
    </row>
    <row r="75" spans="1:13" outlineLevel="1" x14ac:dyDescent="0.3">
      <c r="B75" t="s">
        <v>91</v>
      </c>
      <c r="C75" s="24">
        <f>IFERROR('Cashflow Data'!E11,0)</f>
        <v>-24</v>
      </c>
      <c r="D75" s="24">
        <f>IFERROR('Cashflow Data'!F11,0)</f>
        <v>-115</v>
      </c>
      <c r="E75" s="24">
        <f>IFERROR('Cashflow Data'!G11,0)</f>
        <v>-8</v>
      </c>
      <c r="F75" s="24">
        <f>IFERROR('Cashflow Data'!H11,0)</f>
        <v>-182</v>
      </c>
      <c r="G75" s="24">
        <f>IFERROR('Cashflow Data'!I11,0)</f>
        <v>-93</v>
      </c>
      <c r="H75" s="24">
        <f>IFERROR('Cashflow Data'!J11,0)</f>
        <v>-63</v>
      </c>
      <c r="I75" s="24">
        <f>IFERROR('Cashflow Data'!K11,0)</f>
        <v>-156</v>
      </c>
      <c r="J75" s="24">
        <f>IFERROR('Cashflow Data'!L11,0)</f>
        <v>-168</v>
      </c>
      <c r="K75" s="24">
        <f>IFERROR('Cashflow Data'!M11,0)</f>
        <v>-246</v>
      </c>
      <c r="L75" s="24">
        <f>IFERROR('Cashflow Data'!N11,0)</f>
        <v>8</v>
      </c>
    </row>
    <row r="76" spans="1:13" outlineLevel="1" x14ac:dyDescent="0.3">
      <c r="B76" s="2" t="s">
        <v>116</v>
      </c>
      <c r="C76" s="24">
        <f>IFERROR(SUM(C68:C75),0)</f>
        <v>1925</v>
      </c>
      <c r="D76" s="24">
        <f t="shared" ref="D76:L76" si="20">IFERROR(SUM(D68:D75),0)</f>
        <v>1361</v>
      </c>
      <c r="E76" s="24">
        <f t="shared" si="20"/>
        <v>4187</v>
      </c>
      <c r="F76" s="24">
        <f t="shared" si="20"/>
        <v>6601</v>
      </c>
      <c r="G76" s="24">
        <f t="shared" si="20"/>
        <v>-3257</v>
      </c>
      <c r="H76" s="24">
        <f t="shared" si="20"/>
        <v>11464</v>
      </c>
      <c r="I76" s="24">
        <f t="shared" si="20"/>
        <v>8036</v>
      </c>
      <c r="J76" s="24">
        <f t="shared" si="20"/>
        <v>4709</v>
      </c>
      <c r="K76" s="24">
        <f t="shared" si="20"/>
        <v>9047</v>
      </c>
      <c r="L76" s="24">
        <f t="shared" si="20"/>
        <v>10967</v>
      </c>
    </row>
    <row r="77" spans="1:13" outlineLevel="1" x14ac:dyDescent="0.3"/>
    <row r="78" spans="1:13" outlineLevel="1" x14ac:dyDescent="0.3">
      <c r="B78" s="2" t="s">
        <v>117</v>
      </c>
    </row>
    <row r="79" spans="1:13" outlineLevel="1" x14ac:dyDescent="0.3">
      <c r="B79" t="s">
        <v>93</v>
      </c>
      <c r="C79" s="24">
        <f>IFERROR('Cashflow Data'!E13,0)</f>
        <v>-3284</v>
      </c>
      <c r="D79" s="24">
        <f>IFERROR('Cashflow Data'!F13,0)</f>
        <v>-3514</v>
      </c>
      <c r="E79" s="24">
        <f>IFERROR('Cashflow Data'!G13,0)</f>
        <v>-2823</v>
      </c>
      <c r="F79" s="24">
        <f>IFERROR('Cashflow Data'!H13,0)</f>
        <v>-4783</v>
      </c>
      <c r="G79" s="24">
        <f>IFERROR('Cashflow Data'!I13,0)</f>
        <v>-4669</v>
      </c>
      <c r="H79" s="24">
        <f>IFERROR('Cashflow Data'!J13,0)</f>
        <v>-1856</v>
      </c>
      <c r="I79" s="24">
        <f>IFERROR('Cashflow Data'!K13,0)</f>
        <v>-1831</v>
      </c>
      <c r="J79" s="24">
        <f>IFERROR('Cashflow Data'!L13,0)</f>
        <v>-1697</v>
      </c>
      <c r="K79" s="24">
        <f>IFERROR('Cashflow Data'!M13,0)</f>
        <v>-1991</v>
      </c>
      <c r="L79" s="24">
        <f>IFERROR('Cashflow Data'!N13,0)</f>
        <v>-2043</v>
      </c>
    </row>
    <row r="80" spans="1:13" outlineLevel="1" x14ac:dyDescent="0.3">
      <c r="B80" t="s">
        <v>94</v>
      </c>
      <c r="C80" s="24">
        <f>IFERROR('Cashflow Data'!E14,0)</f>
        <v>34</v>
      </c>
      <c r="D80" s="24">
        <f>IFERROR('Cashflow Data'!F14,0)</f>
        <v>17</v>
      </c>
      <c r="E80" s="24">
        <f>IFERROR('Cashflow Data'!G14,0)</f>
        <v>28</v>
      </c>
      <c r="F80" s="24">
        <f>IFERROR('Cashflow Data'!H14,0)</f>
        <v>30</v>
      </c>
      <c r="G80" s="24">
        <f>IFERROR('Cashflow Data'!I14,0)</f>
        <v>155</v>
      </c>
      <c r="H80" s="24">
        <f>IFERROR('Cashflow Data'!J14,0)</f>
        <v>178</v>
      </c>
      <c r="I80" s="24">
        <f>IFERROR('Cashflow Data'!K14,0)</f>
        <v>100</v>
      </c>
      <c r="J80" s="24">
        <f>IFERROR('Cashflow Data'!L14,0)</f>
        <v>123</v>
      </c>
      <c r="K80" s="24">
        <f>IFERROR('Cashflow Data'!M14,0)</f>
        <v>39</v>
      </c>
      <c r="L80" s="24">
        <f>IFERROR('Cashflow Data'!N14,0)</f>
        <v>113</v>
      </c>
    </row>
    <row r="81" spans="2:12" outlineLevel="1" x14ac:dyDescent="0.3">
      <c r="B81" t="s">
        <v>95</v>
      </c>
      <c r="C81" s="24">
        <f>IFERROR('Cashflow Data'!E15,0)</f>
        <v>-1669</v>
      </c>
      <c r="D81" s="24">
        <f>IFERROR('Cashflow Data'!F15,0)</f>
        <v>-537</v>
      </c>
      <c r="E81" s="24">
        <f>IFERROR('Cashflow Data'!G15,0)</f>
        <v>0</v>
      </c>
      <c r="F81" s="24">
        <f>IFERROR('Cashflow Data'!H15,0)</f>
        <v>0</v>
      </c>
      <c r="G81" s="24">
        <f>IFERROR('Cashflow Data'!I15,0)</f>
        <v>0</v>
      </c>
      <c r="H81" s="24">
        <f>IFERROR('Cashflow Data'!J15,0)</f>
        <v>-673</v>
      </c>
      <c r="I81" s="24">
        <f>IFERROR('Cashflow Data'!K15,0)</f>
        <v>-3560</v>
      </c>
      <c r="J81" s="24">
        <f>IFERROR('Cashflow Data'!L15,0)</f>
        <v>0</v>
      </c>
      <c r="K81" s="24">
        <f>IFERROR('Cashflow Data'!M15,0)</f>
        <v>-33</v>
      </c>
      <c r="L81" s="24">
        <f>IFERROR('Cashflow Data'!N15,0)</f>
        <v>-793</v>
      </c>
    </row>
    <row r="82" spans="2:12" outlineLevel="1" x14ac:dyDescent="0.3">
      <c r="B82" t="s">
        <v>96</v>
      </c>
      <c r="C82" s="24">
        <f>IFERROR('Cashflow Data'!E16,0)</f>
        <v>832</v>
      </c>
      <c r="D82" s="24">
        <f>IFERROR('Cashflow Data'!F16,0)</f>
        <v>0</v>
      </c>
      <c r="E82" s="24">
        <f>IFERROR('Cashflow Data'!G16,0)</f>
        <v>1026</v>
      </c>
      <c r="F82" s="24">
        <f>IFERROR('Cashflow Data'!H16,0)</f>
        <v>952</v>
      </c>
      <c r="G82" s="24">
        <f>IFERROR('Cashflow Data'!I16,0)</f>
        <v>359</v>
      </c>
      <c r="H82" s="24">
        <f>IFERROR('Cashflow Data'!J16,0)</f>
        <v>4</v>
      </c>
      <c r="I82" s="24">
        <f>IFERROR('Cashflow Data'!K16,0)</f>
        <v>0</v>
      </c>
      <c r="J82" s="24">
        <f>IFERROR('Cashflow Data'!L16,0)</f>
        <v>2079</v>
      </c>
      <c r="K82" s="24">
        <f>IFERROR('Cashflow Data'!M16,0)</f>
        <v>1282</v>
      </c>
      <c r="L82" s="24">
        <f>IFERROR('Cashflow Data'!N16,0)</f>
        <v>35</v>
      </c>
    </row>
    <row r="83" spans="2:12" outlineLevel="1" x14ac:dyDescent="0.3">
      <c r="B83" t="s">
        <v>97</v>
      </c>
      <c r="C83" s="24">
        <f>IFERROR('Cashflow Data'!E17,0)</f>
        <v>254</v>
      </c>
      <c r="D83" s="24">
        <f>IFERROR('Cashflow Data'!F17,0)</f>
        <v>259</v>
      </c>
      <c r="E83" s="24">
        <f>IFERROR('Cashflow Data'!G17,0)</f>
        <v>399</v>
      </c>
      <c r="F83" s="24">
        <f>IFERROR('Cashflow Data'!H17,0)</f>
        <v>327</v>
      </c>
      <c r="G83" s="24">
        <f>IFERROR('Cashflow Data'!I17,0)</f>
        <v>471</v>
      </c>
      <c r="H83" s="24">
        <f>IFERROR('Cashflow Data'!J17,0)</f>
        <v>154</v>
      </c>
      <c r="I83" s="24">
        <f>IFERROR('Cashflow Data'!K17,0)</f>
        <v>301</v>
      </c>
      <c r="J83" s="24">
        <f>IFERROR('Cashflow Data'!L17,0)</f>
        <v>185</v>
      </c>
      <c r="K83" s="24">
        <f>IFERROR('Cashflow Data'!M17,0)</f>
        <v>180</v>
      </c>
      <c r="L83" s="24">
        <f>IFERROR('Cashflow Data'!N17,0)</f>
        <v>346</v>
      </c>
    </row>
    <row r="84" spans="2:12" outlineLevel="1" x14ac:dyDescent="0.3">
      <c r="B84" t="s">
        <v>98</v>
      </c>
      <c r="C84" s="24">
        <f>IFERROR('Cashflow Data'!E18,0)</f>
        <v>1042</v>
      </c>
      <c r="D84" s="24">
        <f>IFERROR('Cashflow Data'!F18,0)</f>
        <v>673</v>
      </c>
      <c r="E84" s="24">
        <f>IFERROR('Cashflow Data'!G18,0)</f>
        <v>1055</v>
      </c>
      <c r="F84" s="24">
        <f>IFERROR('Cashflow Data'!H18,0)</f>
        <v>1569</v>
      </c>
      <c r="G84" s="24">
        <f>IFERROR('Cashflow Data'!I18,0)</f>
        <v>241</v>
      </c>
      <c r="H84" s="24">
        <f>IFERROR('Cashflow Data'!J18,0)</f>
        <v>20</v>
      </c>
      <c r="I84" s="24">
        <f>IFERROR('Cashflow Data'!K18,0)</f>
        <v>80</v>
      </c>
      <c r="J84" s="24">
        <f>IFERROR('Cashflow Data'!L18,0)</f>
        <v>319</v>
      </c>
      <c r="K84" s="24">
        <f>IFERROR('Cashflow Data'!M18,0)</f>
        <v>655</v>
      </c>
      <c r="L84" s="24">
        <f>IFERROR('Cashflow Data'!N18,0)</f>
        <v>1988</v>
      </c>
    </row>
    <row r="85" spans="2:12" outlineLevel="1" x14ac:dyDescent="0.3">
      <c r="B85" t="s">
        <v>99</v>
      </c>
      <c r="C85" s="24">
        <f>IFERROR('Cashflow Data'!E19,0)</f>
        <v>-60</v>
      </c>
      <c r="D85" s="24">
        <f>IFERROR('Cashflow Data'!F19,0)</f>
        <v>-139</v>
      </c>
      <c r="E85" s="24">
        <f>IFERROR('Cashflow Data'!G19,0)</f>
        <v>-300</v>
      </c>
      <c r="F85" s="24">
        <f>IFERROR('Cashflow Data'!H19,0)</f>
        <v>-838</v>
      </c>
      <c r="G85" s="24">
        <f>IFERROR('Cashflow Data'!I19,0)</f>
        <v>-467</v>
      </c>
      <c r="H85" s="24">
        <f>IFERROR('Cashflow Data'!J19,0)</f>
        <v>0</v>
      </c>
      <c r="I85" s="24">
        <f>IFERROR('Cashflow Data'!K19,0)</f>
        <v>-871</v>
      </c>
      <c r="J85" s="24">
        <f>IFERROR('Cashflow Data'!L19,0)</f>
        <v>-191</v>
      </c>
      <c r="K85" s="24">
        <f>IFERROR('Cashflow Data'!M19,0)</f>
        <v>-678</v>
      </c>
      <c r="L85" s="24">
        <f>IFERROR('Cashflow Data'!N19,0)</f>
        <v>-1121</v>
      </c>
    </row>
    <row r="86" spans="2:12" outlineLevel="1" x14ac:dyDescent="0.3">
      <c r="B86" t="s">
        <v>100</v>
      </c>
      <c r="C86" s="24">
        <f>IFERROR('Cashflow Data'!E20,0)</f>
        <v>-78</v>
      </c>
      <c r="D86" s="24">
        <f>IFERROR('Cashflow Data'!F20,0)</f>
        <v>0</v>
      </c>
      <c r="E86" s="24">
        <f>IFERROR('Cashflow Data'!G20,0)</f>
        <v>0</v>
      </c>
      <c r="F86" s="24">
        <f>IFERROR('Cashflow Data'!H20,0)</f>
        <v>0</v>
      </c>
      <c r="G86" s="24">
        <f>IFERROR('Cashflow Data'!I20,0)</f>
        <v>-8</v>
      </c>
      <c r="H86" s="24">
        <f>IFERROR('Cashflow Data'!J20,0)</f>
        <v>-57</v>
      </c>
      <c r="I86" s="24">
        <f>IFERROR('Cashflow Data'!K20,0)</f>
        <v>-51</v>
      </c>
      <c r="J86" s="24">
        <f>IFERROR('Cashflow Data'!L20,0)</f>
        <v>-45</v>
      </c>
      <c r="K86" s="24">
        <f>IFERROR('Cashflow Data'!M20,0)</f>
        <v>-16</v>
      </c>
      <c r="L86" s="24">
        <f>IFERROR('Cashflow Data'!N20,0)</f>
        <v>-166</v>
      </c>
    </row>
    <row r="87" spans="2:12" outlineLevel="1" x14ac:dyDescent="0.3">
      <c r="B87" t="s">
        <v>101</v>
      </c>
      <c r="C87" s="24">
        <f>IFERROR('Cashflow Data'!E21,0)</f>
        <v>0</v>
      </c>
      <c r="D87" s="24">
        <f>IFERROR('Cashflow Data'!F21,0)</f>
        <v>0</v>
      </c>
      <c r="E87" s="24">
        <f>IFERROR('Cashflow Data'!G21,0)</f>
        <v>-44</v>
      </c>
      <c r="F87" s="24">
        <f>IFERROR('Cashflow Data'!H21,0)</f>
        <v>0</v>
      </c>
      <c r="G87" s="24">
        <f>IFERROR('Cashflow Data'!I21,0)</f>
        <v>0</v>
      </c>
      <c r="H87" s="24">
        <f>IFERROR('Cashflow Data'!J21,0)</f>
        <v>0</v>
      </c>
      <c r="I87" s="24">
        <f>IFERROR('Cashflow Data'!K21,0)</f>
        <v>0</v>
      </c>
      <c r="J87" s="24">
        <f>IFERROR('Cashflow Data'!L21,0)</f>
        <v>0</v>
      </c>
      <c r="K87" s="24">
        <f>IFERROR('Cashflow Data'!M21,0)</f>
        <v>-150</v>
      </c>
      <c r="L87" s="24">
        <f>IFERROR('Cashflow Data'!N21,0)</f>
        <v>0</v>
      </c>
    </row>
    <row r="88" spans="2:12" outlineLevel="1" x14ac:dyDescent="0.3">
      <c r="B88" t="s">
        <v>102</v>
      </c>
      <c r="C88" s="24">
        <f>IFERROR('Cashflow Data'!E22,0)</f>
        <v>0</v>
      </c>
      <c r="D88" s="24">
        <f>IFERROR('Cashflow Data'!F22,0)</f>
        <v>0</v>
      </c>
      <c r="E88" s="24">
        <f>IFERROR('Cashflow Data'!G22,0)</f>
        <v>0</v>
      </c>
      <c r="F88" s="24">
        <f>IFERROR('Cashflow Data'!H22,0)</f>
        <v>0</v>
      </c>
      <c r="G88" s="24">
        <f>IFERROR('Cashflow Data'!I22,0)</f>
        <v>26</v>
      </c>
      <c r="H88" s="24">
        <f>IFERROR('Cashflow Data'!J22,0)</f>
        <v>10</v>
      </c>
      <c r="I88" s="24">
        <f>IFERROR('Cashflow Data'!K22,0)</f>
        <v>234</v>
      </c>
      <c r="J88" s="24">
        <f>IFERROR('Cashflow Data'!L22,0)</f>
        <v>0</v>
      </c>
      <c r="K88" s="24">
        <f>IFERROR('Cashflow Data'!M22,0)</f>
        <v>3812</v>
      </c>
      <c r="L88" s="24">
        <f>IFERROR('Cashflow Data'!N22,0)</f>
        <v>150</v>
      </c>
    </row>
    <row r="89" spans="2:12" outlineLevel="1" x14ac:dyDescent="0.3">
      <c r="B89" t="s">
        <v>103</v>
      </c>
      <c r="C89" s="24">
        <f>IFERROR('Cashflow Data'!E23,0)</f>
        <v>0</v>
      </c>
      <c r="D89" s="24">
        <f>IFERROR('Cashflow Data'!F23,0)</f>
        <v>0</v>
      </c>
      <c r="E89" s="24">
        <f>IFERROR('Cashflow Data'!G23,0)</f>
        <v>0</v>
      </c>
      <c r="F89" s="24">
        <f>IFERROR('Cashflow Data'!H23,0)</f>
        <v>0</v>
      </c>
      <c r="G89" s="24">
        <f>IFERROR('Cashflow Data'!I23,0)</f>
        <v>0</v>
      </c>
      <c r="H89" s="24">
        <f>IFERROR('Cashflow Data'!J23,0)</f>
        <v>0</v>
      </c>
      <c r="I89" s="24">
        <f>IFERROR('Cashflow Data'!K23,0)</f>
        <v>0</v>
      </c>
      <c r="J89" s="24">
        <f>IFERROR('Cashflow Data'!L23,0)</f>
        <v>0</v>
      </c>
      <c r="K89" s="24">
        <f>IFERROR('Cashflow Data'!M23,0)</f>
        <v>0</v>
      </c>
      <c r="L89" s="24">
        <f>IFERROR('Cashflow Data'!N23,0)</f>
        <v>0</v>
      </c>
    </row>
    <row r="90" spans="2:12" outlineLevel="1" x14ac:dyDescent="0.3">
      <c r="B90" t="s">
        <v>104</v>
      </c>
      <c r="C90" s="24">
        <f>IFERROR('Cashflow Data'!E24,0)</f>
        <v>-35</v>
      </c>
      <c r="D90" s="24">
        <f>IFERROR('Cashflow Data'!F24,0)</f>
        <v>20</v>
      </c>
      <c r="E90" s="24">
        <f>IFERROR('Cashflow Data'!G24,0)</f>
        <v>60</v>
      </c>
      <c r="F90" s="24">
        <f>IFERROR('Cashflow Data'!H24,0)</f>
        <v>-2</v>
      </c>
      <c r="G90" s="24">
        <f>IFERROR('Cashflow Data'!I24,0)</f>
        <v>-10</v>
      </c>
      <c r="H90" s="24">
        <f>IFERROR('Cashflow Data'!J24,0)</f>
        <v>-30</v>
      </c>
      <c r="I90" s="24">
        <f>IFERROR('Cashflow Data'!K24,0)</f>
        <v>0</v>
      </c>
      <c r="J90" s="24">
        <f>IFERROR('Cashflow Data'!L24,0)</f>
        <v>-15</v>
      </c>
      <c r="K90" s="24">
        <f>IFERROR('Cashflow Data'!M24,0)</f>
        <v>-95</v>
      </c>
      <c r="L90" s="24">
        <f>IFERROR('Cashflow Data'!N24,0)</f>
        <v>-2923</v>
      </c>
    </row>
    <row r="91" spans="2:12" outlineLevel="1" x14ac:dyDescent="0.3">
      <c r="B91" t="s">
        <v>105</v>
      </c>
      <c r="C91" s="24">
        <f>IFERROR('Cashflow Data'!E25,0)</f>
        <v>-301</v>
      </c>
      <c r="D91" s="24">
        <f>IFERROR('Cashflow Data'!F25,0)</f>
        <v>361</v>
      </c>
      <c r="E91" s="24">
        <f>IFERROR('Cashflow Data'!G25,0)</f>
        <v>-111</v>
      </c>
      <c r="F91" s="24">
        <f>IFERROR('Cashflow Data'!H25,0)</f>
        <v>-1076</v>
      </c>
      <c r="G91" s="24">
        <f>IFERROR('Cashflow Data'!I25,0)</f>
        <v>-736</v>
      </c>
      <c r="H91" s="24">
        <f>IFERROR('Cashflow Data'!J25,0)</f>
        <v>-740</v>
      </c>
      <c r="I91" s="24">
        <f>IFERROR('Cashflow Data'!K25,0)</f>
        <v>917</v>
      </c>
      <c r="J91" s="24">
        <f>IFERROR('Cashflow Data'!L25,0)</f>
        <v>160</v>
      </c>
      <c r="K91" s="24">
        <f>IFERROR('Cashflow Data'!M25,0)</f>
        <v>-1513</v>
      </c>
      <c r="L91" s="24">
        <f>IFERROR('Cashflow Data'!N25,0)</f>
        <v>593</v>
      </c>
    </row>
    <row r="92" spans="2:12" outlineLevel="1" x14ac:dyDescent="0.3">
      <c r="B92" s="2" t="s">
        <v>118</v>
      </c>
      <c r="C92" s="24">
        <f>IFERROR('Cashflow Data'!E26,0)</f>
        <v>-79</v>
      </c>
      <c r="D92" s="24">
        <f>IFERROR('Cashflow Data'!F26,0)</f>
        <v>1209</v>
      </c>
      <c r="E92" s="24">
        <f>IFERROR('Cashflow Data'!G26,0)</f>
        <v>-3106</v>
      </c>
      <c r="F92" s="24">
        <f>IFERROR('Cashflow Data'!H26,0)</f>
        <v>-2530</v>
      </c>
      <c r="G92" s="24">
        <f>IFERROR('Cashflow Data'!I26,0)</f>
        <v>7749</v>
      </c>
      <c r="H92" s="24">
        <f>IFERROR('Cashflow Data'!J26,0)</f>
        <v>-3472</v>
      </c>
      <c r="I92" s="24">
        <f>IFERROR('Cashflow Data'!K26,0)</f>
        <v>-516</v>
      </c>
      <c r="J92" s="24">
        <f>IFERROR('Cashflow Data'!L26,0)</f>
        <v>-7021</v>
      </c>
      <c r="K92" s="24">
        <f>IFERROR('Cashflow Data'!M26,0)</f>
        <v>-7930</v>
      </c>
      <c r="L92" s="24">
        <f>IFERROR('Cashflow Data'!N26,0)</f>
        <v>-8932</v>
      </c>
    </row>
    <row r="93" spans="2:12" outlineLevel="1" x14ac:dyDescent="0.3"/>
    <row r="94" spans="2:12" outlineLevel="1" x14ac:dyDescent="0.3">
      <c r="B94" s="2" t="s">
        <v>119</v>
      </c>
    </row>
    <row r="95" spans="2:12" outlineLevel="1" x14ac:dyDescent="0.3">
      <c r="B95" t="s">
        <v>107</v>
      </c>
      <c r="C95" s="24">
        <f>IFERROR('Cashflow Data'!E27,0)</f>
        <v>7433</v>
      </c>
      <c r="D95" s="24">
        <f>IFERROR('Cashflow Data'!F27,0)</f>
        <v>5</v>
      </c>
      <c r="E95" s="24">
        <f>IFERROR('Cashflow Data'!G27,0)</f>
        <v>0</v>
      </c>
      <c r="F95" s="24">
        <f>IFERROR('Cashflow Data'!H27,0)</f>
        <v>0</v>
      </c>
      <c r="G95" s="24">
        <f>IFERROR('Cashflow Data'!I27,0)</f>
        <v>3889</v>
      </c>
      <c r="H95" s="24">
        <f>IFERROR('Cashflow Data'!J27,0)</f>
        <v>2603</v>
      </c>
      <c r="I95" s="24">
        <f>IFERROR('Cashflow Data'!K27,0)</f>
        <v>19</v>
      </c>
      <c r="J95" s="24">
        <f>IFERROR('Cashflow Data'!L27,0)</f>
        <v>20</v>
      </c>
      <c r="K95" s="24">
        <f>IFERROR('Cashflow Data'!M27,0)</f>
        <v>82</v>
      </c>
      <c r="L95" s="24">
        <f>IFERROR('Cashflow Data'!N27,0)</f>
        <v>1108</v>
      </c>
    </row>
    <row r="96" spans="2:12" outlineLevel="1" x14ac:dyDescent="0.3">
      <c r="B96" t="s">
        <v>108</v>
      </c>
      <c r="C96" s="24">
        <f>IFERROR('Cashflow Data'!E28,0)</f>
        <v>3587</v>
      </c>
      <c r="D96" s="24">
        <f>IFERROR('Cashflow Data'!F28,0)</f>
        <v>10687</v>
      </c>
      <c r="E96" s="24">
        <f>IFERROR('Cashflow Data'!G28,0)</f>
        <v>6406</v>
      </c>
      <c r="F96" s="24">
        <f>IFERROR('Cashflow Data'!H28,0)</f>
        <v>8805</v>
      </c>
      <c r="G96" s="24">
        <f>IFERROR('Cashflow Data'!I28,0)</f>
        <v>15462</v>
      </c>
      <c r="H96" s="24">
        <f>IFERROR('Cashflow Data'!J28,0)</f>
        <v>6985</v>
      </c>
      <c r="I96" s="24">
        <f>IFERROR('Cashflow Data'!K28,0)</f>
        <v>10408</v>
      </c>
      <c r="J96" s="24">
        <f>IFERROR('Cashflow Data'!L28,0)</f>
        <v>887</v>
      </c>
      <c r="K96" s="24">
        <f>IFERROR('Cashflow Data'!M28,0)</f>
        <v>783</v>
      </c>
      <c r="L96" s="24">
        <f>IFERROR('Cashflow Data'!N28,0)</f>
        <v>2262</v>
      </c>
    </row>
    <row r="97" spans="2:12" outlineLevel="1" x14ac:dyDescent="0.3">
      <c r="B97" t="s">
        <v>109</v>
      </c>
      <c r="C97" s="24">
        <f>IFERROR('Cashflow Data'!E29,0)</f>
        <v>-9013</v>
      </c>
      <c r="D97" s="24">
        <f>IFERROR('Cashflow Data'!F29,0)</f>
        <v>-7473</v>
      </c>
      <c r="E97" s="24">
        <f>IFERROR('Cashflow Data'!G29,0)</f>
        <v>-7410</v>
      </c>
      <c r="F97" s="24">
        <f>IFERROR('Cashflow Data'!H29,0)</f>
        <v>-8977</v>
      </c>
      <c r="G97" s="24">
        <f>IFERROR('Cashflow Data'!I29,0)</f>
        <v>-9128</v>
      </c>
      <c r="H97" s="24">
        <f>IFERROR('Cashflow Data'!J29,0)</f>
        <v>-10438</v>
      </c>
      <c r="I97" s="24">
        <f>IFERROR('Cashflow Data'!K29,0)</f>
        <v>-8517</v>
      </c>
      <c r="J97" s="24">
        <f>IFERROR('Cashflow Data'!L29,0)</f>
        <v>-5852</v>
      </c>
      <c r="K97" s="24">
        <f>IFERROR('Cashflow Data'!M29,0)</f>
        <v>-6031</v>
      </c>
      <c r="L97" s="24">
        <f>IFERROR('Cashflow Data'!N29,0)</f>
        <v>-7281</v>
      </c>
    </row>
    <row r="98" spans="2:12" outlineLevel="1" x14ac:dyDescent="0.3">
      <c r="B98" t="s">
        <v>110</v>
      </c>
      <c r="C98" s="24">
        <f>IFERROR('Cashflow Data'!E30,0)</f>
        <v>-2086</v>
      </c>
      <c r="D98" s="24">
        <f>IFERROR('Cashflow Data'!F30,0)</f>
        <v>-1936</v>
      </c>
      <c r="E98" s="24">
        <f>IFERROR('Cashflow Data'!G30,0)</f>
        <v>-2098</v>
      </c>
      <c r="F98" s="24">
        <f>IFERROR('Cashflow Data'!H30,0)</f>
        <v>-2355</v>
      </c>
      <c r="G98" s="24">
        <f>IFERROR('Cashflow Data'!I30,0)</f>
        <v>-2270</v>
      </c>
      <c r="H98" s="24">
        <f>IFERROR('Cashflow Data'!J30,0)</f>
        <v>-2427</v>
      </c>
      <c r="I98" s="24">
        <f>IFERROR('Cashflow Data'!K30,0)</f>
        <v>-2272</v>
      </c>
      <c r="J98" s="24">
        <f>IFERROR('Cashflow Data'!L30,0)</f>
        <v>-2008</v>
      </c>
      <c r="K98" s="24">
        <f>IFERROR('Cashflow Data'!M30,0)</f>
        <v>-1839</v>
      </c>
      <c r="L98" s="24">
        <f>IFERROR('Cashflow Data'!N30,0)</f>
        <v>-1159</v>
      </c>
    </row>
    <row r="99" spans="2:12" outlineLevel="1" x14ac:dyDescent="0.3">
      <c r="B99" t="s">
        <v>111</v>
      </c>
      <c r="C99" s="24">
        <f>IFERROR('Cashflow Data'!E31,0)</f>
        <v>0</v>
      </c>
      <c r="D99" s="24">
        <f>IFERROR('Cashflow Data'!F31,0)</f>
        <v>-73</v>
      </c>
      <c r="E99" s="24">
        <f>IFERROR('Cashflow Data'!G31,0)</f>
        <v>-3</v>
      </c>
      <c r="F99" s="24">
        <f>IFERROR('Cashflow Data'!H31,0)</f>
        <v>-3</v>
      </c>
      <c r="G99" s="24">
        <f>IFERROR('Cashflow Data'!I31,0)</f>
        <v>-4</v>
      </c>
      <c r="H99" s="24">
        <f>IFERROR('Cashflow Data'!J31,0)</f>
        <v>-2</v>
      </c>
      <c r="I99" s="24">
        <f>IFERROR('Cashflow Data'!K31,0)</f>
        <v>-2</v>
      </c>
      <c r="J99" s="24">
        <f>IFERROR('Cashflow Data'!L31,0)</f>
        <v>0</v>
      </c>
      <c r="K99" s="24">
        <f>IFERROR('Cashflow Data'!M31,0)</f>
        <v>-770</v>
      </c>
      <c r="L99" s="24">
        <f>IFERROR('Cashflow Data'!N31,0)</f>
        <v>-2304</v>
      </c>
    </row>
    <row r="100" spans="2:12" outlineLevel="1" x14ac:dyDescent="0.3">
      <c r="B100" t="s">
        <v>112</v>
      </c>
      <c r="C100" s="24">
        <f>IFERROR('Cashflow Data'!E32,0)</f>
        <v>0</v>
      </c>
      <c r="D100" s="24">
        <f>IFERROR('Cashflow Data'!F32,0)</f>
        <v>0</v>
      </c>
      <c r="E100" s="24">
        <f>IFERROR('Cashflow Data'!G32,0)</f>
        <v>0</v>
      </c>
      <c r="F100" s="24">
        <f>IFERROR('Cashflow Data'!H32,0)</f>
        <v>0</v>
      </c>
      <c r="G100" s="24">
        <f>IFERROR('Cashflow Data'!I32,0)</f>
        <v>-194</v>
      </c>
      <c r="H100" s="24">
        <f>IFERROR('Cashflow Data'!J32,0)</f>
        <v>-192</v>
      </c>
      <c r="I100" s="24">
        <f>IFERROR('Cashflow Data'!K32,0)</f>
        <v>-152</v>
      </c>
      <c r="J100" s="24">
        <f>IFERROR('Cashflow Data'!L32,0)</f>
        <v>-68</v>
      </c>
      <c r="K100" s="24">
        <f>IFERROR('Cashflow Data'!M32,0)</f>
        <v>-155</v>
      </c>
      <c r="L100" s="24">
        <f>IFERROR('Cashflow Data'!N32,0)</f>
        <v>-422</v>
      </c>
    </row>
    <row r="101" spans="2:12" outlineLevel="1" x14ac:dyDescent="0.3">
      <c r="B101" t="s">
        <v>113</v>
      </c>
      <c r="C101" s="24">
        <f>IFERROR('Cashflow Data'!E33,0)</f>
        <v>0</v>
      </c>
      <c r="D101" s="24">
        <f>IFERROR('Cashflow Data'!F33,0)</f>
        <v>0</v>
      </c>
      <c r="E101" s="24">
        <f>IFERROR('Cashflow Data'!G33,0)</f>
        <v>0</v>
      </c>
      <c r="F101" s="24">
        <f>IFERROR('Cashflow Data'!H33,0)</f>
        <v>0</v>
      </c>
      <c r="G101" s="24">
        <f>IFERROR('Cashflow Data'!I33,0)</f>
        <v>-7</v>
      </c>
      <c r="H101" s="24">
        <f>IFERROR('Cashflow Data'!J33,0)</f>
        <v>0</v>
      </c>
      <c r="I101" s="24">
        <f>IFERROR('Cashflow Data'!K33,0)</f>
        <v>0</v>
      </c>
      <c r="J101" s="24">
        <f>IFERROR('Cashflow Data'!L33,0)</f>
        <v>0</v>
      </c>
      <c r="K101" s="24">
        <f>IFERROR('Cashflow Data'!M33,0)</f>
        <v>0</v>
      </c>
      <c r="L101" s="24">
        <f>IFERROR('Cashflow Data'!N33,0)</f>
        <v>-1136</v>
      </c>
    </row>
    <row r="102" spans="2:12" outlineLevel="1" x14ac:dyDescent="0.3">
      <c r="B102" s="2" t="s">
        <v>120</v>
      </c>
      <c r="C102" s="24">
        <f>IFERROR('Cashflow Data'!E34,0)</f>
        <v>-639</v>
      </c>
      <c r="D102" s="24">
        <f>IFERROR('Cashflow Data'!F34,0)</f>
        <v>-198</v>
      </c>
      <c r="E102" s="24">
        <f>IFERROR('Cashflow Data'!G34,0)</f>
        <v>318</v>
      </c>
      <c r="F102" s="24">
        <f>IFERROR('Cashflow Data'!H34,0)</f>
        <v>-59</v>
      </c>
      <c r="G102" s="24">
        <f>IFERROR('Cashflow Data'!I34,0)</f>
        <v>1658</v>
      </c>
      <c r="H102" s="24">
        <f>IFERROR('Cashflow Data'!J34,0)</f>
        <v>220</v>
      </c>
      <c r="I102" s="24">
        <f>IFERROR('Cashflow Data'!K34,0)</f>
        <v>85</v>
      </c>
      <c r="J102" s="24">
        <f>IFERROR('Cashflow Data'!L34,0)</f>
        <v>-1329</v>
      </c>
      <c r="K102" s="24">
        <f>IFERROR('Cashflow Data'!M34,0)</f>
        <v>2224</v>
      </c>
      <c r="L102" s="24">
        <f>IFERROR('Cashflow Data'!N34,0)</f>
        <v>-2958</v>
      </c>
    </row>
    <row r="103" spans="2:12" outlineLevel="1" x14ac:dyDescent="0.3"/>
    <row r="104" spans="2:12" outlineLevel="1" x14ac:dyDescent="0.3">
      <c r="B104" s="2" t="s">
        <v>121</v>
      </c>
      <c r="C104" s="24">
        <f>IFERROR(SUM(C95:C102),0)</f>
        <v>-718</v>
      </c>
      <c r="D104" s="24">
        <f t="shared" ref="D104:L104" si="21">IFERROR(SUM(D95:D102),0)</f>
        <v>1012</v>
      </c>
      <c r="E104" s="24">
        <f t="shared" si="21"/>
        <v>-2787</v>
      </c>
      <c r="F104" s="24">
        <f t="shared" si="21"/>
        <v>-2589</v>
      </c>
      <c r="G104" s="24">
        <f t="shared" si="21"/>
        <v>9406</v>
      </c>
      <c r="H104" s="24">
        <f t="shared" si="21"/>
        <v>-3251</v>
      </c>
      <c r="I104" s="24">
        <f t="shared" si="21"/>
        <v>-431</v>
      </c>
      <c r="J104" s="24">
        <f t="shared" si="21"/>
        <v>-8350</v>
      </c>
      <c r="K104" s="24">
        <f t="shared" si="21"/>
        <v>-5706</v>
      </c>
      <c r="L104" s="24">
        <f t="shared" si="21"/>
        <v>-11890</v>
      </c>
    </row>
  </sheetData>
  <mergeCells count="1">
    <mergeCell ref="B2:M2"/>
  </mergeCells>
  <pageMargins left="0.7" right="0.7" top="0.75" bottom="0.75" header="0.3" footer="0.3"/>
  <ignoredErrors>
    <ignoredError sqref="D8 E8:M8 M5 C13 D13:L13 M22 M19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275D8"/>
  </sheetPr>
  <dimension ref="A1:G16"/>
  <sheetViews>
    <sheetView zoomScale="120" zoomScaleNormal="150" zoomScalePageLayoutView="150" workbookViewId="0">
      <selection activeCell="F15" sqref="F15"/>
    </sheetView>
  </sheetViews>
  <sheetFormatPr defaultColWidth="8.77734375" defaultRowHeight="14.4" x14ac:dyDescent="0.3"/>
  <cols>
    <col min="1" max="1" width="8.77734375" style="2"/>
    <col min="2" max="2" width="10.44140625" customWidth="1"/>
    <col min="3" max="3" width="13.33203125" style="10" customWidth="1"/>
    <col min="6" max="6" width="6.77734375" customWidth="1"/>
  </cols>
  <sheetData>
    <row r="1" spans="1:7" ht="21" x14ac:dyDescent="0.4">
      <c r="A1" s="9"/>
    </row>
    <row r="8" spans="1:7" x14ac:dyDescent="0.3">
      <c r="C8" s="11"/>
    </row>
    <row r="16" spans="1:7" x14ac:dyDescent="0.3">
      <c r="G16" s="1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B55" activePane="bottomRight" state="frozen"/>
      <selection activeCell="C4" sqref="C4"/>
      <selection pane="topRight" activeCell="C4" sqref="C4"/>
      <selection pane="bottomLeft" activeCell="C4" sqref="C4"/>
      <selection pane="bottomRight" activeCell="B76" sqref="B76"/>
    </sheetView>
  </sheetViews>
  <sheetFormatPr defaultColWidth="8.77734375" defaultRowHeight="14.4" x14ac:dyDescent="0.3"/>
  <cols>
    <col min="1" max="1" width="27.6640625" style="3" bestFit="1" customWidth="1"/>
    <col min="2" max="11" width="13.44140625" style="3" bestFit="1" customWidth="1"/>
    <col min="12" max="16384" width="8.77734375" style="3"/>
  </cols>
  <sheetData>
    <row r="1" spans="1:11" s="1" customFormat="1" x14ac:dyDescent="0.3">
      <c r="A1" s="1" t="s">
        <v>0</v>
      </c>
      <c r="B1" s="1" t="s">
        <v>33</v>
      </c>
      <c r="E1" s="87" t="str">
        <f>IF(B2&lt;&gt;B3, "A NEW VERSION OF THE WORKSHEET IS AVAILABLE", "")</f>
        <v/>
      </c>
      <c r="F1" s="87"/>
      <c r="G1" s="87"/>
      <c r="H1" s="87"/>
      <c r="I1" s="87"/>
      <c r="J1" s="87"/>
      <c r="K1" s="87"/>
    </row>
    <row r="2" spans="1:11" x14ac:dyDescent="0.3">
      <c r="A2" s="1" t="s">
        <v>31</v>
      </c>
      <c r="B2" s="3">
        <v>2.1</v>
      </c>
      <c r="E2" s="88" t="s">
        <v>22</v>
      </c>
      <c r="F2" s="88"/>
      <c r="G2" s="88"/>
      <c r="H2" s="88"/>
      <c r="I2" s="88"/>
      <c r="J2" s="88"/>
      <c r="K2" s="88"/>
    </row>
    <row r="3" spans="1:11" x14ac:dyDescent="0.3">
      <c r="A3" s="1" t="s">
        <v>32</v>
      </c>
      <c r="B3" s="3">
        <v>2.1</v>
      </c>
    </row>
    <row r="4" spans="1:11" x14ac:dyDescent="0.3">
      <c r="A4" s="1"/>
    </row>
    <row r="5" spans="1:11" x14ac:dyDescent="0.3">
      <c r="A5" s="1" t="s">
        <v>34</v>
      </c>
    </row>
    <row r="6" spans="1:11" x14ac:dyDescent="0.3">
      <c r="A6" s="3" t="s">
        <v>28</v>
      </c>
      <c r="B6" s="3">
        <f>IF(B9&gt;0, B9/B8, 0)</f>
        <v>95.919767441860458</v>
      </c>
    </row>
    <row r="7" spans="1:11" x14ac:dyDescent="0.3">
      <c r="A7" s="3" t="s">
        <v>17</v>
      </c>
      <c r="B7">
        <v>1</v>
      </c>
    </row>
    <row r="8" spans="1:11" x14ac:dyDescent="0.3">
      <c r="A8" s="3" t="s">
        <v>29</v>
      </c>
      <c r="B8">
        <v>2485.4</v>
      </c>
    </row>
    <row r="9" spans="1:11" x14ac:dyDescent="0.3">
      <c r="A9" s="3" t="s">
        <v>44</v>
      </c>
      <c r="B9">
        <v>238398.99</v>
      </c>
    </row>
    <row r="15" spans="1:11" x14ac:dyDescent="0.3">
      <c r="A15" s="1" t="s">
        <v>23</v>
      </c>
    </row>
    <row r="16" spans="1:11" s="8" customFormat="1" x14ac:dyDescent="0.3">
      <c r="A16" s="7" t="s">
        <v>24</v>
      </c>
      <c r="B16" s="6">
        <v>42460</v>
      </c>
      <c r="C16" s="6">
        <v>42825</v>
      </c>
      <c r="D16" s="6">
        <v>43190</v>
      </c>
      <c r="E16" s="6">
        <v>43555</v>
      </c>
      <c r="F16" s="6">
        <v>43921</v>
      </c>
      <c r="G16" s="6">
        <v>44286</v>
      </c>
      <c r="H16" s="6">
        <v>44651</v>
      </c>
      <c r="I16" s="6">
        <v>45016</v>
      </c>
      <c r="J16" s="6">
        <v>45382</v>
      </c>
      <c r="K16" s="6">
        <v>45747</v>
      </c>
    </row>
    <row r="17" spans="1:11" s="5" customFormat="1" x14ac:dyDescent="0.3">
      <c r="A17" s="5" t="s">
        <v>1</v>
      </c>
      <c r="B17">
        <v>14271.49</v>
      </c>
      <c r="C17">
        <v>15061.99</v>
      </c>
      <c r="D17">
        <v>16824.55</v>
      </c>
      <c r="E17">
        <v>19240.13</v>
      </c>
      <c r="F17">
        <v>20211.25</v>
      </c>
      <c r="G17">
        <v>21712.79</v>
      </c>
      <c r="H17">
        <v>29101.279999999999</v>
      </c>
      <c r="I17">
        <v>34488.589999999997</v>
      </c>
      <c r="J17">
        <v>35494.730000000003</v>
      </c>
      <c r="K17">
        <v>33905.620000000003</v>
      </c>
    </row>
    <row r="18" spans="1:11" s="5" customFormat="1" x14ac:dyDescent="0.3">
      <c r="A18" s="3" t="s">
        <v>45</v>
      </c>
      <c r="B18">
        <v>6569.83</v>
      </c>
      <c r="C18">
        <v>7452.6</v>
      </c>
      <c r="D18">
        <v>8128.17</v>
      </c>
      <c r="E18">
        <v>9974.4</v>
      </c>
      <c r="F18">
        <v>9981.99</v>
      </c>
      <c r="G18">
        <v>10425.549999999999</v>
      </c>
      <c r="H18">
        <v>17123.25</v>
      </c>
      <c r="I18">
        <v>18985.53</v>
      </c>
      <c r="J18">
        <v>17410.84</v>
      </c>
      <c r="K18">
        <v>17504.509999999998</v>
      </c>
    </row>
    <row r="19" spans="1:11" s="5" customFormat="1" x14ac:dyDescent="0.3">
      <c r="A19" s="3" t="s">
        <v>46</v>
      </c>
      <c r="B19">
        <v>-199.33</v>
      </c>
      <c r="C19">
        <v>528.6</v>
      </c>
      <c r="D19">
        <v>-142.13</v>
      </c>
      <c r="E19">
        <v>293.26</v>
      </c>
      <c r="F19">
        <v>239.15</v>
      </c>
      <c r="G19">
        <v>92.45</v>
      </c>
      <c r="H19">
        <v>1324.97</v>
      </c>
      <c r="I19">
        <v>309.73</v>
      </c>
      <c r="J19">
        <v>-363.8</v>
      </c>
      <c r="K19">
        <v>205</v>
      </c>
    </row>
    <row r="20" spans="1:11" s="5" customFormat="1" x14ac:dyDescent="0.3">
      <c r="A20" s="3" t="s">
        <v>47</v>
      </c>
      <c r="B20">
        <v>114.48</v>
      </c>
      <c r="C20">
        <v>106.02</v>
      </c>
      <c r="D20">
        <v>110.3</v>
      </c>
      <c r="E20">
        <v>119.63</v>
      </c>
      <c r="F20">
        <v>97.79</v>
      </c>
      <c r="G20">
        <v>86.05</v>
      </c>
      <c r="H20">
        <v>117.23</v>
      </c>
      <c r="I20">
        <v>138.29</v>
      </c>
      <c r="J20">
        <v>133.25</v>
      </c>
      <c r="K20">
        <v>148.58000000000001</v>
      </c>
    </row>
    <row r="21" spans="1:11" s="5" customFormat="1" x14ac:dyDescent="0.3">
      <c r="A21" s="3" t="s">
        <v>48</v>
      </c>
      <c r="B21">
        <v>1535.22</v>
      </c>
      <c r="C21">
        <v>1662.75</v>
      </c>
      <c r="D21">
        <v>1691.68</v>
      </c>
      <c r="E21">
        <v>1862.35</v>
      </c>
      <c r="F21">
        <v>1946.12</v>
      </c>
      <c r="G21">
        <v>2068.31</v>
      </c>
      <c r="H21">
        <v>2880.45</v>
      </c>
      <c r="I21">
        <v>2916.2</v>
      </c>
      <c r="J21">
        <v>2767.18</v>
      </c>
      <c r="K21">
        <v>2687.4</v>
      </c>
    </row>
    <row r="22" spans="1:11" s="5" customFormat="1" x14ac:dyDescent="0.3">
      <c r="A22" s="3" t="s">
        <v>49</v>
      </c>
      <c r="B22">
        <v>994.98</v>
      </c>
      <c r="C22">
        <v>1039.8900000000001</v>
      </c>
      <c r="D22">
        <v>1121.8900000000001</v>
      </c>
      <c r="E22">
        <v>1242.69</v>
      </c>
      <c r="F22">
        <v>1371.27</v>
      </c>
      <c r="G22">
        <v>1547.61</v>
      </c>
      <c r="H22">
        <v>1794.61</v>
      </c>
      <c r="I22">
        <v>2036.41</v>
      </c>
      <c r="J22">
        <v>2334.92</v>
      </c>
      <c r="K22">
        <v>2605.7800000000002</v>
      </c>
    </row>
    <row r="23" spans="1:11" s="5" customFormat="1" x14ac:dyDescent="0.3">
      <c r="A23" s="3" t="s">
        <v>50</v>
      </c>
      <c r="B23">
        <v>3912.3</v>
      </c>
      <c r="C23">
        <v>4364.04</v>
      </c>
      <c r="D23">
        <v>2254.92</v>
      </c>
      <c r="E23">
        <v>2366.87</v>
      </c>
      <c r="F23">
        <v>2311.5100000000002</v>
      </c>
      <c r="G23">
        <v>2245.69</v>
      </c>
      <c r="H23">
        <v>2941.98</v>
      </c>
      <c r="I23">
        <v>3500.84</v>
      </c>
      <c r="J23">
        <v>3811.86</v>
      </c>
      <c r="K23">
        <v>3874.94</v>
      </c>
    </row>
    <row r="24" spans="1:11" s="5" customFormat="1" x14ac:dyDescent="0.3">
      <c r="A24" s="3" t="s">
        <v>51</v>
      </c>
      <c r="B24">
        <v>-1779.69</v>
      </c>
      <c r="C24">
        <v>-2028.47</v>
      </c>
      <c r="D24">
        <v>171.45</v>
      </c>
      <c r="E24">
        <v>202.51</v>
      </c>
      <c r="F24">
        <v>584.9</v>
      </c>
      <c r="G24">
        <v>576.42999999999995</v>
      </c>
      <c r="H24">
        <v>765.12</v>
      </c>
      <c r="I24">
        <v>961.21</v>
      </c>
      <c r="J24">
        <v>1087.9000000000001</v>
      </c>
      <c r="K24">
        <v>1283.2</v>
      </c>
    </row>
    <row r="25" spans="1:11" s="5" customFormat="1" x14ac:dyDescent="0.3">
      <c r="A25" s="5" t="s">
        <v>4</v>
      </c>
      <c r="B25">
        <v>213.39</v>
      </c>
      <c r="C25">
        <v>337.9</v>
      </c>
      <c r="D25">
        <v>336.41</v>
      </c>
      <c r="E25">
        <v>273.77</v>
      </c>
      <c r="F25">
        <v>355.05</v>
      </c>
      <c r="G25">
        <v>331.65</v>
      </c>
      <c r="H25">
        <v>295.88</v>
      </c>
      <c r="I25">
        <v>431.46</v>
      </c>
      <c r="J25">
        <v>820.96</v>
      </c>
      <c r="K25">
        <v>350.22</v>
      </c>
    </row>
    <row r="26" spans="1:11" s="5" customFormat="1" x14ac:dyDescent="0.3">
      <c r="A26" s="5" t="s">
        <v>5</v>
      </c>
      <c r="B26">
        <v>275.58</v>
      </c>
      <c r="C26">
        <v>334.79</v>
      </c>
      <c r="D26">
        <v>360.47</v>
      </c>
      <c r="E26">
        <v>622.14</v>
      </c>
      <c r="F26">
        <v>780.5</v>
      </c>
      <c r="G26">
        <v>791.27</v>
      </c>
      <c r="H26">
        <v>816.36</v>
      </c>
      <c r="I26">
        <v>858.02</v>
      </c>
      <c r="J26">
        <v>853</v>
      </c>
      <c r="K26">
        <v>1026.3399999999999</v>
      </c>
    </row>
    <row r="27" spans="1:11" s="5" customFormat="1" x14ac:dyDescent="0.3">
      <c r="A27" s="5" t="s">
        <v>6</v>
      </c>
      <c r="B27">
        <v>49</v>
      </c>
      <c r="C27">
        <v>37.33</v>
      </c>
      <c r="D27">
        <v>41.47</v>
      </c>
      <c r="E27">
        <v>110.47</v>
      </c>
      <c r="F27">
        <v>102.33</v>
      </c>
      <c r="G27">
        <v>91.63</v>
      </c>
      <c r="H27">
        <v>95.41</v>
      </c>
      <c r="I27">
        <v>144.44999999999999</v>
      </c>
      <c r="J27">
        <v>205.17</v>
      </c>
      <c r="K27">
        <v>227.02</v>
      </c>
    </row>
    <row r="28" spans="1:11" s="5" customFormat="1" x14ac:dyDescent="0.3">
      <c r="A28" s="5" t="s">
        <v>7</v>
      </c>
      <c r="B28">
        <v>2613.85</v>
      </c>
      <c r="C28">
        <v>2959.54</v>
      </c>
      <c r="D28">
        <v>3138.48</v>
      </c>
      <c r="E28">
        <v>3306.1</v>
      </c>
      <c r="F28">
        <v>3629.04</v>
      </c>
      <c r="G28">
        <v>4304.3500000000004</v>
      </c>
      <c r="H28">
        <v>4187.72</v>
      </c>
      <c r="I28">
        <v>5688.83</v>
      </c>
      <c r="J28">
        <v>7347.77</v>
      </c>
      <c r="K28">
        <v>5103.07</v>
      </c>
    </row>
    <row r="29" spans="1:11" s="5" customFormat="1" x14ac:dyDescent="0.3">
      <c r="A29" s="5" t="s">
        <v>8</v>
      </c>
      <c r="B29">
        <v>844.49</v>
      </c>
      <c r="C29">
        <v>943.29</v>
      </c>
      <c r="D29">
        <v>1040.96</v>
      </c>
      <c r="E29">
        <v>1098.06</v>
      </c>
      <c r="F29">
        <v>854.85</v>
      </c>
      <c r="G29">
        <v>1097.5999999999999</v>
      </c>
      <c r="H29">
        <v>1102.9100000000001</v>
      </c>
      <c r="I29">
        <v>1493.5</v>
      </c>
      <c r="J29">
        <v>1790.08</v>
      </c>
      <c r="K29">
        <v>1393.36</v>
      </c>
    </row>
    <row r="30" spans="1:11" s="5" customFormat="1" x14ac:dyDescent="0.3">
      <c r="A30" s="5" t="s">
        <v>9</v>
      </c>
      <c r="B30">
        <v>1745.16</v>
      </c>
      <c r="C30">
        <v>1939.43</v>
      </c>
      <c r="D30">
        <v>2038.93</v>
      </c>
      <c r="E30">
        <v>2155.92</v>
      </c>
      <c r="F30">
        <v>2705.17</v>
      </c>
      <c r="G30">
        <v>3139.29</v>
      </c>
      <c r="H30">
        <v>3030.57</v>
      </c>
      <c r="I30">
        <v>4106.45</v>
      </c>
      <c r="J30">
        <v>5460.23</v>
      </c>
      <c r="K30">
        <v>3667.23</v>
      </c>
    </row>
    <row r="31" spans="1:11" s="5" customFormat="1" x14ac:dyDescent="0.3">
      <c r="A31" s="5" t="s">
        <v>35</v>
      </c>
      <c r="B31">
        <v>719.4</v>
      </c>
      <c r="C31">
        <v>987.98</v>
      </c>
      <c r="D31">
        <v>834.5</v>
      </c>
      <c r="E31">
        <v>1007.16</v>
      </c>
      <c r="F31">
        <v>1151.04</v>
      </c>
      <c r="G31">
        <v>1712.17</v>
      </c>
      <c r="H31">
        <v>1836.87</v>
      </c>
      <c r="I31">
        <v>2460.35</v>
      </c>
      <c r="J31">
        <v>3194.14</v>
      </c>
      <c r="K31">
        <v>2378.8200000000002</v>
      </c>
    </row>
    <row r="32" spans="1:11" s="5" customFormat="1" x14ac:dyDescent="0.3"/>
    <row r="33" spans="1:11" x14ac:dyDescent="0.3">
      <c r="A33" s="5"/>
    </row>
    <row r="34" spans="1:11" x14ac:dyDescent="0.3">
      <c r="A34" s="5"/>
    </row>
    <row r="35" spans="1:11" x14ac:dyDescent="0.3">
      <c r="A35" s="5"/>
    </row>
    <row r="36" spans="1:11" x14ac:dyDescent="0.3">
      <c r="A36" s="5"/>
    </row>
    <row r="37" spans="1:11" x14ac:dyDescent="0.3">
      <c r="A37" s="5"/>
    </row>
    <row r="38" spans="1:11" x14ac:dyDescent="0.3">
      <c r="A38" s="5"/>
    </row>
    <row r="39" spans="1:11" x14ac:dyDescent="0.3">
      <c r="A39" s="5"/>
    </row>
    <row r="40" spans="1:11" x14ac:dyDescent="0.3">
      <c r="A40" s="1" t="s">
        <v>25</v>
      </c>
    </row>
    <row r="41" spans="1:11" s="8" customFormat="1" x14ac:dyDescent="0.3">
      <c r="A41" s="7" t="s">
        <v>24</v>
      </c>
      <c r="B41" s="6">
        <v>45016</v>
      </c>
      <c r="C41" s="6">
        <v>45107</v>
      </c>
      <c r="D41" s="6">
        <v>45199</v>
      </c>
      <c r="E41" s="6">
        <v>45291</v>
      </c>
      <c r="F41" s="6">
        <v>45382</v>
      </c>
      <c r="G41" s="6">
        <v>45473</v>
      </c>
      <c r="H41" s="6">
        <v>45565</v>
      </c>
      <c r="I41" s="6">
        <v>45657</v>
      </c>
      <c r="J41" s="6">
        <v>45747</v>
      </c>
      <c r="K41" s="6">
        <v>45838</v>
      </c>
    </row>
    <row r="42" spans="1:11" s="5" customFormat="1" x14ac:dyDescent="0.3">
      <c r="A42" s="5" t="s">
        <v>1</v>
      </c>
      <c r="B42">
        <v>8787.34</v>
      </c>
      <c r="C42">
        <v>9182.31</v>
      </c>
      <c r="D42">
        <v>8478.57</v>
      </c>
      <c r="E42">
        <v>9103.09</v>
      </c>
      <c r="F42">
        <v>8730.76</v>
      </c>
      <c r="G42">
        <v>8969.73</v>
      </c>
      <c r="H42">
        <v>8027.54</v>
      </c>
      <c r="I42">
        <v>8549.44</v>
      </c>
      <c r="J42">
        <v>8358.91</v>
      </c>
      <c r="K42">
        <v>8938.5499999999993</v>
      </c>
    </row>
    <row r="43" spans="1:11" s="5" customFormat="1" x14ac:dyDescent="0.3">
      <c r="A43" s="5" t="s">
        <v>2</v>
      </c>
      <c r="B43">
        <v>6922.58</v>
      </c>
      <c r="C43">
        <v>7061.02</v>
      </c>
      <c r="D43">
        <v>6762.34</v>
      </c>
      <c r="E43">
        <v>7047</v>
      </c>
      <c r="F43">
        <v>7039.39</v>
      </c>
      <c r="G43">
        <v>7275.96</v>
      </c>
      <c r="H43">
        <v>6788.03</v>
      </c>
      <c r="I43">
        <v>6912.71</v>
      </c>
      <c r="J43">
        <v>6922.71</v>
      </c>
      <c r="K43">
        <v>7313.58</v>
      </c>
    </row>
    <row r="44" spans="1:11" s="5" customFormat="1" x14ac:dyDescent="0.3">
      <c r="A44" s="5" t="s">
        <v>4</v>
      </c>
      <c r="B44">
        <v>104.17</v>
      </c>
      <c r="C44">
        <v>227.74</v>
      </c>
      <c r="D44">
        <v>194.33</v>
      </c>
      <c r="E44">
        <v>186.46</v>
      </c>
      <c r="F44">
        <v>212.43</v>
      </c>
      <c r="G44">
        <v>192.93</v>
      </c>
      <c r="H44">
        <v>24.53</v>
      </c>
      <c r="I44">
        <v>192.82</v>
      </c>
      <c r="J44">
        <v>-60.06</v>
      </c>
      <c r="K44">
        <v>229.11</v>
      </c>
    </row>
    <row r="45" spans="1:11" s="5" customFormat="1" x14ac:dyDescent="0.3">
      <c r="A45" s="5" t="s">
        <v>5</v>
      </c>
      <c r="B45">
        <v>220.17</v>
      </c>
      <c r="C45">
        <v>198.32</v>
      </c>
      <c r="D45">
        <v>208.72</v>
      </c>
      <c r="E45">
        <v>220.35</v>
      </c>
      <c r="F45">
        <v>225.61</v>
      </c>
      <c r="G45">
        <v>227.7</v>
      </c>
      <c r="H45">
        <v>241.99</v>
      </c>
      <c r="I45">
        <v>255.55</v>
      </c>
      <c r="J45">
        <v>301.10000000000002</v>
      </c>
      <c r="K45">
        <v>300.87</v>
      </c>
    </row>
    <row r="46" spans="1:11" s="5" customFormat="1" x14ac:dyDescent="0.3">
      <c r="A46" s="5" t="s">
        <v>6</v>
      </c>
      <c r="B46">
        <v>38.909999999999997</v>
      </c>
      <c r="C46">
        <v>45.75</v>
      </c>
      <c r="D46">
        <v>50.9</v>
      </c>
      <c r="E46">
        <v>54.42</v>
      </c>
      <c r="F46">
        <v>54.1</v>
      </c>
      <c r="G46">
        <v>55.38</v>
      </c>
      <c r="H46">
        <v>63.01</v>
      </c>
      <c r="I46">
        <v>55.84</v>
      </c>
      <c r="J46">
        <v>52.79</v>
      </c>
      <c r="K46">
        <v>44.5</v>
      </c>
    </row>
    <row r="47" spans="1:11" s="5" customFormat="1" x14ac:dyDescent="0.3">
      <c r="A47" s="5" t="s">
        <v>7</v>
      </c>
      <c r="B47">
        <v>1709.85</v>
      </c>
      <c r="C47">
        <v>2104.96</v>
      </c>
      <c r="D47">
        <v>1650.94</v>
      </c>
      <c r="E47">
        <v>1967.78</v>
      </c>
      <c r="F47">
        <v>1624.09</v>
      </c>
      <c r="G47">
        <v>1603.62</v>
      </c>
      <c r="H47">
        <v>959.04</v>
      </c>
      <c r="I47">
        <v>1518.16</v>
      </c>
      <c r="J47">
        <v>1022.25</v>
      </c>
      <c r="K47">
        <v>1508.71</v>
      </c>
    </row>
    <row r="48" spans="1:11" s="5" customFormat="1" x14ac:dyDescent="0.3">
      <c r="A48" s="5" t="s">
        <v>8</v>
      </c>
      <c r="B48">
        <v>451.44</v>
      </c>
      <c r="C48">
        <v>530.12</v>
      </c>
      <c r="D48">
        <v>418.55</v>
      </c>
      <c r="E48">
        <v>492.62</v>
      </c>
      <c r="F48">
        <v>348.79</v>
      </c>
      <c r="G48">
        <v>416.83</v>
      </c>
      <c r="H48">
        <v>265.38</v>
      </c>
      <c r="I48">
        <v>389.73</v>
      </c>
      <c r="J48">
        <v>321.42</v>
      </c>
      <c r="K48">
        <v>391.66</v>
      </c>
    </row>
    <row r="49" spans="1:11" s="5" customFormat="1" x14ac:dyDescent="0.3">
      <c r="A49" s="5" t="s">
        <v>9</v>
      </c>
      <c r="B49">
        <v>1234.1400000000001</v>
      </c>
      <c r="C49">
        <v>1550.37</v>
      </c>
      <c r="D49">
        <v>1205.42</v>
      </c>
      <c r="E49">
        <v>1447.72</v>
      </c>
      <c r="F49">
        <v>1256.72</v>
      </c>
      <c r="G49">
        <v>1169.98</v>
      </c>
      <c r="H49">
        <v>694.64</v>
      </c>
      <c r="I49">
        <v>1110.48</v>
      </c>
      <c r="J49">
        <v>692.13</v>
      </c>
      <c r="K49">
        <v>1099.77</v>
      </c>
    </row>
    <row r="50" spans="1:11" x14ac:dyDescent="0.3">
      <c r="A50" s="5" t="s">
        <v>3</v>
      </c>
      <c r="B50">
        <v>1864.76</v>
      </c>
      <c r="C50">
        <v>2121.29</v>
      </c>
      <c r="D50">
        <v>1716.23</v>
      </c>
      <c r="E50">
        <v>2056.09</v>
      </c>
      <c r="F50">
        <v>1691.37</v>
      </c>
      <c r="G50">
        <v>1693.77</v>
      </c>
      <c r="H50">
        <v>1239.51</v>
      </c>
      <c r="I50">
        <v>1636.73</v>
      </c>
      <c r="J50">
        <v>1436.2</v>
      </c>
      <c r="K50">
        <v>1624.97</v>
      </c>
    </row>
    <row r="51" spans="1:11" x14ac:dyDescent="0.3">
      <c r="A51" s="5"/>
    </row>
    <row r="52" spans="1:11" x14ac:dyDescent="0.3">
      <c r="A52" s="5"/>
    </row>
    <row r="53" spans="1:11" x14ac:dyDescent="0.3">
      <c r="A53" s="5"/>
    </row>
    <row r="54" spans="1:11" x14ac:dyDescent="0.3">
      <c r="A54" s="5"/>
    </row>
    <row r="55" spans="1:11" x14ac:dyDescent="0.3">
      <c r="A55" s="1" t="s">
        <v>26</v>
      </c>
    </row>
    <row r="56" spans="1:11" s="8" customFormat="1" x14ac:dyDescent="0.3">
      <c r="A56" s="7" t="s">
        <v>24</v>
      </c>
      <c r="B56" s="6">
        <v>42460</v>
      </c>
      <c r="C56" s="6">
        <v>42825</v>
      </c>
      <c r="D56" s="6">
        <v>43190</v>
      </c>
      <c r="E56" s="6">
        <v>43555</v>
      </c>
      <c r="F56" s="6">
        <v>43921</v>
      </c>
      <c r="G56" s="6">
        <v>44286</v>
      </c>
      <c r="H56" s="6">
        <v>44651</v>
      </c>
      <c r="I56" s="6">
        <v>45016</v>
      </c>
      <c r="J56" s="6">
        <v>45382</v>
      </c>
      <c r="K56" s="6">
        <v>45747</v>
      </c>
    </row>
    <row r="57" spans="1:11" x14ac:dyDescent="0.3">
      <c r="A57" s="5" t="s">
        <v>11</v>
      </c>
      <c r="B57">
        <v>95.92</v>
      </c>
      <c r="C57">
        <v>95.92</v>
      </c>
      <c r="D57">
        <v>95.92</v>
      </c>
      <c r="E57">
        <v>95.92</v>
      </c>
      <c r="F57">
        <v>95.92</v>
      </c>
      <c r="G57">
        <v>95.92</v>
      </c>
      <c r="H57">
        <v>95.92</v>
      </c>
      <c r="I57">
        <v>95.92</v>
      </c>
      <c r="J57">
        <v>95.92</v>
      </c>
      <c r="K57">
        <v>95.92</v>
      </c>
    </row>
    <row r="58" spans="1:11" x14ac:dyDescent="0.3">
      <c r="A58" s="5" t="s">
        <v>12</v>
      </c>
      <c r="B58">
        <v>6428.9</v>
      </c>
      <c r="C58">
        <v>7507.97</v>
      </c>
      <c r="D58">
        <v>8314.31</v>
      </c>
      <c r="E58">
        <v>9374.6299999999992</v>
      </c>
      <c r="F58">
        <v>10034.24</v>
      </c>
      <c r="G58">
        <v>12710.37</v>
      </c>
      <c r="H58">
        <v>13715.64</v>
      </c>
      <c r="I58">
        <v>15896.31</v>
      </c>
      <c r="J58">
        <v>18632.38</v>
      </c>
      <c r="K58">
        <v>19303.89</v>
      </c>
    </row>
    <row r="59" spans="1:11" x14ac:dyDescent="0.3">
      <c r="A59" s="5" t="s">
        <v>36</v>
      </c>
      <c r="B59">
        <v>323.29000000000002</v>
      </c>
      <c r="C59">
        <v>560.34</v>
      </c>
      <c r="D59">
        <v>533.42999999999995</v>
      </c>
      <c r="E59">
        <v>1319.6</v>
      </c>
      <c r="F59">
        <v>1118.5</v>
      </c>
      <c r="G59">
        <v>1093.1199999999999</v>
      </c>
      <c r="H59">
        <v>1586.88</v>
      </c>
      <c r="I59">
        <v>1932.62</v>
      </c>
      <c r="J59">
        <v>2474.38</v>
      </c>
      <c r="K59">
        <v>2290.29</v>
      </c>
    </row>
    <row r="60" spans="1:11" x14ac:dyDescent="0.3">
      <c r="A60" s="5" t="s">
        <v>37</v>
      </c>
      <c r="B60">
        <v>3710.92</v>
      </c>
      <c r="C60">
        <v>4240.96</v>
      </c>
      <c r="D60">
        <v>4819.82</v>
      </c>
      <c r="E60">
        <v>5458.69</v>
      </c>
      <c r="F60">
        <v>4889.3100000000004</v>
      </c>
      <c r="G60">
        <v>6455.93</v>
      </c>
      <c r="H60">
        <v>7559.99</v>
      </c>
      <c r="I60">
        <v>7854.48</v>
      </c>
      <c r="J60">
        <v>8698.09</v>
      </c>
      <c r="K60">
        <v>8665.15</v>
      </c>
    </row>
    <row r="61" spans="1:11" s="1" customFormat="1" x14ac:dyDescent="0.3">
      <c r="A61" s="1" t="s">
        <v>13</v>
      </c>
      <c r="B61">
        <v>10559.03</v>
      </c>
      <c r="C61">
        <v>12405.19</v>
      </c>
      <c r="D61">
        <v>13763.48</v>
      </c>
      <c r="E61">
        <v>16248.84</v>
      </c>
      <c r="F61">
        <v>16137.97</v>
      </c>
      <c r="G61">
        <v>20355.34</v>
      </c>
      <c r="H61">
        <v>22958.43</v>
      </c>
      <c r="I61">
        <v>25779.33</v>
      </c>
      <c r="J61">
        <v>29900.77</v>
      </c>
      <c r="K61">
        <v>30355.25</v>
      </c>
    </row>
    <row r="62" spans="1:11" x14ac:dyDescent="0.3">
      <c r="A62" s="5" t="s">
        <v>14</v>
      </c>
      <c r="B62">
        <v>3416.35</v>
      </c>
      <c r="C62">
        <v>3303.74</v>
      </c>
      <c r="D62">
        <v>3732.24</v>
      </c>
      <c r="E62">
        <v>6496.56</v>
      </c>
      <c r="F62">
        <v>6272.31</v>
      </c>
      <c r="G62">
        <v>5858.52</v>
      </c>
      <c r="H62">
        <v>5519.06</v>
      </c>
      <c r="I62">
        <v>5770.46</v>
      </c>
      <c r="J62">
        <v>7146.62</v>
      </c>
      <c r="K62">
        <v>9220.1</v>
      </c>
    </row>
    <row r="63" spans="1:11" x14ac:dyDescent="0.3">
      <c r="A63" s="5" t="s">
        <v>15</v>
      </c>
      <c r="B63">
        <v>106.59</v>
      </c>
      <c r="C63">
        <v>257.54000000000002</v>
      </c>
      <c r="D63">
        <v>1405.11</v>
      </c>
      <c r="E63">
        <v>209.67</v>
      </c>
      <c r="F63">
        <v>140.24</v>
      </c>
      <c r="G63">
        <v>182.98</v>
      </c>
      <c r="H63">
        <v>426.43</v>
      </c>
      <c r="I63">
        <v>1019.59</v>
      </c>
      <c r="J63">
        <v>2698.37</v>
      </c>
      <c r="K63">
        <v>1254.49</v>
      </c>
    </row>
    <row r="64" spans="1:11" x14ac:dyDescent="0.3">
      <c r="A64" s="5" t="s">
        <v>16</v>
      </c>
      <c r="B64">
        <v>2712.13</v>
      </c>
      <c r="C64">
        <v>2651.99</v>
      </c>
      <c r="D64">
        <v>2140.6999999999998</v>
      </c>
      <c r="E64">
        <v>2568.58</v>
      </c>
      <c r="F64">
        <v>2018.85</v>
      </c>
      <c r="G64">
        <v>4736.8</v>
      </c>
      <c r="H64">
        <v>3247.53</v>
      </c>
      <c r="I64">
        <v>4261.71</v>
      </c>
      <c r="J64">
        <v>4587.92</v>
      </c>
      <c r="K64">
        <v>4724.75</v>
      </c>
    </row>
    <row r="65" spans="1:11" x14ac:dyDescent="0.3">
      <c r="A65" s="5" t="s">
        <v>38</v>
      </c>
      <c r="B65">
        <v>4323.96</v>
      </c>
      <c r="C65">
        <v>6191.92</v>
      </c>
      <c r="D65">
        <v>6485.43</v>
      </c>
      <c r="E65">
        <v>6974.03</v>
      </c>
      <c r="F65">
        <v>7706.57</v>
      </c>
      <c r="G65">
        <v>9577.0400000000009</v>
      </c>
      <c r="H65">
        <v>13765.41</v>
      </c>
      <c r="I65">
        <v>14727.57</v>
      </c>
      <c r="J65">
        <v>15467.86</v>
      </c>
      <c r="K65">
        <v>15155.91</v>
      </c>
    </row>
    <row r="66" spans="1:11" s="1" customFormat="1" x14ac:dyDescent="0.3">
      <c r="A66" s="1" t="s">
        <v>13</v>
      </c>
      <c r="B66">
        <v>10559.03</v>
      </c>
      <c r="C66">
        <v>12405.19</v>
      </c>
      <c r="D66">
        <v>13763.48</v>
      </c>
      <c r="E66">
        <v>16248.84</v>
      </c>
      <c r="F66">
        <v>16137.97</v>
      </c>
      <c r="G66">
        <v>20355.34</v>
      </c>
      <c r="H66">
        <v>22958.43</v>
      </c>
      <c r="I66">
        <v>25779.33</v>
      </c>
      <c r="J66">
        <v>29900.77</v>
      </c>
      <c r="K66">
        <v>30355.25</v>
      </c>
    </row>
    <row r="67" spans="1:11" s="5" customFormat="1" x14ac:dyDescent="0.3">
      <c r="A67" s="5" t="s">
        <v>43</v>
      </c>
      <c r="B67">
        <v>1186.8399999999999</v>
      </c>
      <c r="C67">
        <v>1446.6</v>
      </c>
      <c r="D67">
        <v>1730.63</v>
      </c>
      <c r="E67">
        <v>1907.33</v>
      </c>
      <c r="F67">
        <v>1795.22</v>
      </c>
      <c r="G67">
        <v>2602.17</v>
      </c>
      <c r="H67">
        <v>3871.44</v>
      </c>
      <c r="I67">
        <v>4636.9399999999996</v>
      </c>
      <c r="J67">
        <v>4889.05</v>
      </c>
      <c r="K67">
        <v>4313.6499999999996</v>
      </c>
    </row>
    <row r="68" spans="1:11" x14ac:dyDescent="0.3">
      <c r="A68" s="5" t="s">
        <v>30</v>
      </c>
      <c r="B68">
        <v>1998.24</v>
      </c>
      <c r="C68">
        <v>2626.94</v>
      </c>
      <c r="D68">
        <v>2658.31</v>
      </c>
      <c r="E68">
        <v>3149.86</v>
      </c>
      <c r="F68">
        <v>3389.81</v>
      </c>
      <c r="G68">
        <v>3798.6</v>
      </c>
      <c r="H68">
        <v>6152.98</v>
      </c>
      <c r="I68">
        <v>6210.64</v>
      </c>
      <c r="J68">
        <v>5923.41</v>
      </c>
      <c r="K68">
        <v>6719.27</v>
      </c>
    </row>
    <row r="69" spans="1:11" x14ac:dyDescent="0.3">
      <c r="A69" s="3" t="s">
        <v>52</v>
      </c>
      <c r="B69">
        <v>424.2</v>
      </c>
      <c r="C69">
        <v>801.21</v>
      </c>
      <c r="D69">
        <v>404.65</v>
      </c>
      <c r="E69">
        <v>444.88</v>
      </c>
      <c r="F69">
        <v>782.83</v>
      </c>
      <c r="G69">
        <v>610.75</v>
      </c>
      <c r="H69">
        <v>864.33</v>
      </c>
      <c r="I69">
        <v>843.82</v>
      </c>
      <c r="J69">
        <v>1084.01</v>
      </c>
      <c r="K69">
        <v>781.98</v>
      </c>
    </row>
    <row r="70" spans="1:11" x14ac:dyDescent="0.3">
      <c r="A70" s="3" t="s">
        <v>39</v>
      </c>
      <c r="B70">
        <v>959197790</v>
      </c>
      <c r="C70">
        <v>959197790</v>
      </c>
      <c r="D70">
        <v>959197790</v>
      </c>
      <c r="E70">
        <v>959197790</v>
      </c>
      <c r="F70">
        <v>959197790</v>
      </c>
      <c r="G70">
        <v>959197790</v>
      </c>
      <c r="H70">
        <v>959197790</v>
      </c>
      <c r="I70">
        <v>959197790</v>
      </c>
      <c r="J70">
        <v>959197790</v>
      </c>
      <c r="K70">
        <v>959197790</v>
      </c>
    </row>
    <row r="71" spans="1:11" x14ac:dyDescent="0.3">
      <c r="A71" s="3" t="s">
        <v>40</v>
      </c>
    </row>
    <row r="72" spans="1:11" x14ac:dyDescent="0.3">
      <c r="A72" s="3" t="s">
        <v>53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</row>
    <row r="74" spans="1:11" x14ac:dyDescent="0.3">
      <c r="A74" s="5" t="s">
        <v>163</v>
      </c>
      <c r="B74" s="3">
        <f>B65-SUM(B67:B69)</f>
        <v>714.68000000000029</v>
      </c>
      <c r="C74" s="3">
        <f t="shared" ref="C74:K74" si="0">C65-SUM(C67:C69)</f>
        <v>1317.17</v>
      </c>
      <c r="D74" s="3">
        <f t="shared" si="0"/>
        <v>1691.8400000000001</v>
      </c>
      <c r="E74" s="3">
        <f t="shared" si="0"/>
        <v>1471.9599999999991</v>
      </c>
      <c r="F74" s="3">
        <f t="shared" si="0"/>
        <v>1738.71</v>
      </c>
      <c r="G74" s="3">
        <f t="shared" si="0"/>
        <v>2565.5200000000004</v>
      </c>
      <c r="H74" s="3">
        <f t="shared" si="0"/>
        <v>2876.66</v>
      </c>
      <c r="I74" s="3">
        <f t="shared" si="0"/>
        <v>3036.17</v>
      </c>
      <c r="J74" s="3">
        <f t="shared" si="0"/>
        <v>3571.3900000000012</v>
      </c>
      <c r="K74" s="3">
        <f t="shared" si="0"/>
        <v>3341.01</v>
      </c>
    </row>
    <row r="75" spans="1:11" x14ac:dyDescent="0.3">
      <c r="A75" s="5"/>
    </row>
    <row r="76" spans="1:11" x14ac:dyDescent="0.3">
      <c r="A76" s="5"/>
    </row>
    <row r="77" spans="1:11" x14ac:dyDescent="0.3">
      <c r="A77" s="5"/>
    </row>
    <row r="78" spans="1:11" x14ac:dyDescent="0.3">
      <c r="A78" s="5"/>
    </row>
    <row r="79" spans="1:11" x14ac:dyDescent="0.3">
      <c r="A79" s="5"/>
    </row>
    <row r="80" spans="1:11" x14ac:dyDescent="0.3">
      <c r="A80" s="1" t="s">
        <v>27</v>
      </c>
    </row>
    <row r="81" spans="1:11" s="8" customFormat="1" x14ac:dyDescent="0.3">
      <c r="A81" s="7" t="s">
        <v>24</v>
      </c>
      <c r="B81" s="6">
        <v>42460</v>
      </c>
      <c r="C81" s="6">
        <v>42825</v>
      </c>
      <c r="D81" s="6">
        <v>43190</v>
      </c>
      <c r="E81" s="6">
        <v>43555</v>
      </c>
      <c r="F81" s="6">
        <v>43921</v>
      </c>
      <c r="G81" s="6">
        <v>44286</v>
      </c>
      <c r="H81" s="6">
        <v>44651</v>
      </c>
      <c r="I81" s="6">
        <v>45016</v>
      </c>
      <c r="J81" s="6">
        <v>45382</v>
      </c>
      <c r="K81" s="6">
        <v>45747</v>
      </c>
    </row>
    <row r="82" spans="1:11" s="1" customFormat="1" x14ac:dyDescent="0.3">
      <c r="A82" s="5" t="s">
        <v>18</v>
      </c>
      <c r="B82">
        <v>2242.9499999999998</v>
      </c>
      <c r="C82">
        <v>1527.33</v>
      </c>
      <c r="D82">
        <v>2113.44</v>
      </c>
      <c r="E82">
        <v>2469.54</v>
      </c>
      <c r="F82">
        <v>3038.15</v>
      </c>
      <c r="G82">
        <v>3683.35</v>
      </c>
      <c r="H82">
        <v>986.49</v>
      </c>
      <c r="I82">
        <v>4193.43</v>
      </c>
      <c r="J82">
        <v>6103.6</v>
      </c>
      <c r="K82">
        <v>4423.96</v>
      </c>
    </row>
    <row r="83" spans="1:11" s="5" customFormat="1" x14ac:dyDescent="0.3">
      <c r="A83" s="5" t="s">
        <v>19</v>
      </c>
      <c r="B83">
        <v>-866.21</v>
      </c>
      <c r="C83">
        <v>-681.11</v>
      </c>
      <c r="D83">
        <v>-1556.14</v>
      </c>
      <c r="E83">
        <v>-917.79</v>
      </c>
      <c r="F83">
        <v>-517.91</v>
      </c>
      <c r="G83">
        <v>-540.54</v>
      </c>
      <c r="H83">
        <v>-316.75</v>
      </c>
      <c r="I83">
        <v>-1282.3399999999999</v>
      </c>
      <c r="J83">
        <v>-2548.48</v>
      </c>
      <c r="K83">
        <v>-940.91</v>
      </c>
    </row>
    <row r="84" spans="1:11" s="5" customFormat="1" x14ac:dyDescent="0.3">
      <c r="A84" s="5" t="s">
        <v>20</v>
      </c>
      <c r="B84">
        <v>-848.98</v>
      </c>
      <c r="C84">
        <v>-756.43</v>
      </c>
      <c r="D84">
        <v>-1379.14</v>
      </c>
      <c r="E84">
        <v>-1117.46</v>
      </c>
      <c r="F84">
        <v>-2871.46</v>
      </c>
      <c r="G84">
        <v>-650.4</v>
      </c>
      <c r="H84">
        <v>-1807.61</v>
      </c>
      <c r="I84">
        <v>-2140.0500000000002</v>
      </c>
      <c r="J84">
        <v>-2982.5</v>
      </c>
      <c r="K84">
        <v>-3752.58</v>
      </c>
    </row>
    <row r="85" spans="1:11" s="1" customFormat="1" x14ac:dyDescent="0.3">
      <c r="A85" s="5" t="s">
        <v>21</v>
      </c>
      <c r="B85">
        <v>527.76</v>
      </c>
      <c r="C85">
        <v>89.79</v>
      </c>
      <c r="D85">
        <v>-821.84</v>
      </c>
      <c r="E85">
        <v>434.29</v>
      </c>
      <c r="F85">
        <v>-351.22</v>
      </c>
      <c r="G85">
        <v>2492.41</v>
      </c>
      <c r="H85">
        <v>-1137.8699999999999</v>
      </c>
      <c r="I85">
        <v>771.04</v>
      </c>
      <c r="J85">
        <v>572.62</v>
      </c>
      <c r="K85">
        <v>-269.52999999999997</v>
      </c>
    </row>
    <row r="86" spans="1:11" x14ac:dyDescent="0.3">
      <c r="A86" s="5"/>
    </row>
    <row r="87" spans="1:11" x14ac:dyDescent="0.3">
      <c r="A87" s="5"/>
    </row>
    <row r="88" spans="1:11" x14ac:dyDescent="0.3">
      <c r="A88" s="5"/>
    </row>
    <row r="89" spans="1:11" x14ac:dyDescent="0.3">
      <c r="A89" s="5"/>
    </row>
    <row r="90" spans="1:11" s="1" customFormat="1" x14ac:dyDescent="0.3">
      <c r="A90" s="1" t="s">
        <v>42</v>
      </c>
      <c r="B90">
        <v>868.4</v>
      </c>
      <c r="C90">
        <v>1073.5</v>
      </c>
      <c r="D90">
        <v>1120.4000000000001</v>
      </c>
      <c r="E90">
        <v>1492.7</v>
      </c>
      <c r="F90">
        <v>1666.5</v>
      </c>
      <c r="G90">
        <v>2537.4</v>
      </c>
      <c r="H90">
        <v>3079.95</v>
      </c>
      <c r="I90">
        <v>2761.65</v>
      </c>
      <c r="J90">
        <v>2846.75</v>
      </c>
      <c r="K90">
        <v>2340.65</v>
      </c>
    </row>
    <row r="92" spans="1:11" s="1" customFormat="1" x14ac:dyDescent="0.3">
      <c r="A92" s="1" t="s">
        <v>41</v>
      </c>
    </row>
    <row r="93" spans="1:11" x14ac:dyDescent="0.3">
      <c r="A93" s="3" t="s">
        <v>54</v>
      </c>
      <c r="B93" s="13">
        <v>95.92</v>
      </c>
      <c r="C93" s="13">
        <v>95.92</v>
      </c>
      <c r="D93" s="13">
        <v>95.92</v>
      </c>
      <c r="E93" s="13">
        <v>95.92</v>
      </c>
      <c r="F93" s="13">
        <v>95.92</v>
      </c>
      <c r="G93" s="13">
        <v>95.92</v>
      </c>
      <c r="H93" s="13">
        <v>95.92</v>
      </c>
      <c r="I93" s="13">
        <v>95.92</v>
      </c>
      <c r="J93" s="13">
        <v>95.92</v>
      </c>
      <c r="K93" s="13">
        <v>95.92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A21FA-9514-42F5-96E6-3CAD64FB4A99}">
  <dimension ref="A1:M38"/>
  <sheetViews>
    <sheetView workbookViewId="0">
      <selection activeCell="P15" sqref="P15"/>
    </sheetView>
  </sheetViews>
  <sheetFormatPr defaultRowHeight="14.4" x14ac:dyDescent="0.3"/>
  <cols>
    <col min="1" max="1" width="25.5546875" customWidth="1"/>
  </cols>
  <sheetData>
    <row r="1" spans="1:13" x14ac:dyDescent="0.3">
      <c r="B1" s="51">
        <v>41699</v>
      </c>
      <c r="C1" s="51">
        <v>42064</v>
      </c>
      <c r="D1" s="51">
        <v>42430</v>
      </c>
      <c r="E1" s="51">
        <v>42795</v>
      </c>
      <c r="F1" s="51">
        <v>43160</v>
      </c>
      <c r="G1" s="51">
        <v>43525</v>
      </c>
      <c r="H1" s="51">
        <v>43891</v>
      </c>
      <c r="I1" s="51">
        <v>44256</v>
      </c>
      <c r="J1" s="51">
        <v>44621</v>
      </c>
      <c r="K1" s="51">
        <v>44986</v>
      </c>
      <c r="L1" s="51">
        <v>45352</v>
      </c>
      <c r="M1" s="51">
        <v>45717</v>
      </c>
    </row>
    <row r="2" spans="1:13" x14ac:dyDescent="0.3">
      <c r="A2" s="2" t="s">
        <v>164</v>
      </c>
      <c r="B2" s="52">
        <v>96</v>
      </c>
      <c r="C2" s="52">
        <v>96</v>
      </c>
      <c r="D2" s="52">
        <v>96</v>
      </c>
      <c r="E2" s="52">
        <v>96</v>
      </c>
      <c r="F2" s="52">
        <v>96</v>
      </c>
      <c r="G2" s="52">
        <v>96</v>
      </c>
      <c r="H2" s="52">
        <v>96</v>
      </c>
      <c r="I2" s="52">
        <v>96</v>
      </c>
      <c r="J2" s="52">
        <v>96</v>
      </c>
      <c r="K2" s="52">
        <v>96</v>
      </c>
      <c r="L2" s="52">
        <v>96</v>
      </c>
      <c r="M2" s="52">
        <v>96</v>
      </c>
    </row>
    <row r="3" spans="1:13" x14ac:dyDescent="0.3">
      <c r="A3" s="2" t="s">
        <v>12</v>
      </c>
      <c r="B3" s="52">
        <v>3943</v>
      </c>
      <c r="C3" s="52">
        <v>4646</v>
      </c>
      <c r="D3" s="52">
        <v>6429</v>
      </c>
      <c r="E3" s="52">
        <v>7508</v>
      </c>
      <c r="F3" s="52">
        <v>8314</v>
      </c>
      <c r="G3" s="52">
        <v>9375</v>
      </c>
      <c r="H3" s="52">
        <v>10034</v>
      </c>
      <c r="I3" s="52">
        <v>12710</v>
      </c>
      <c r="J3" s="52">
        <v>13716</v>
      </c>
      <c r="K3" s="52">
        <v>15896</v>
      </c>
      <c r="L3" s="52">
        <v>18632</v>
      </c>
      <c r="M3" s="52">
        <v>19304</v>
      </c>
    </row>
    <row r="4" spans="1:13" x14ac:dyDescent="0.3">
      <c r="A4" s="2" t="s">
        <v>165</v>
      </c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</row>
    <row r="5" spans="1:13" x14ac:dyDescent="0.3">
      <c r="A5" t="s">
        <v>166</v>
      </c>
      <c r="B5" s="52">
        <v>41</v>
      </c>
      <c r="C5" s="52">
        <v>78</v>
      </c>
      <c r="D5" s="52">
        <v>73</v>
      </c>
      <c r="E5" s="52">
        <v>41</v>
      </c>
      <c r="F5" s="52">
        <v>28</v>
      </c>
      <c r="G5" s="52">
        <v>19</v>
      </c>
      <c r="H5" s="52">
        <v>19</v>
      </c>
      <c r="I5" s="52">
        <v>15</v>
      </c>
      <c r="J5" s="52">
        <v>45</v>
      </c>
      <c r="K5" s="52">
        <v>76</v>
      </c>
      <c r="L5" s="52">
        <v>54</v>
      </c>
      <c r="M5" s="52">
        <v>260</v>
      </c>
    </row>
    <row r="6" spans="1:13" x14ac:dyDescent="0.3">
      <c r="A6" t="s">
        <v>167</v>
      </c>
      <c r="B6" s="52">
        <v>199</v>
      </c>
      <c r="C6" s="52">
        <v>332</v>
      </c>
      <c r="D6" s="52">
        <v>231</v>
      </c>
      <c r="E6" s="52">
        <v>504</v>
      </c>
      <c r="F6" s="52">
        <v>492</v>
      </c>
      <c r="G6" s="52">
        <v>597</v>
      </c>
      <c r="H6" s="52">
        <v>321</v>
      </c>
      <c r="I6" s="52">
        <v>334</v>
      </c>
      <c r="J6" s="52">
        <v>731</v>
      </c>
      <c r="K6" s="52">
        <v>896</v>
      </c>
      <c r="L6" s="52">
        <v>1053</v>
      </c>
      <c r="M6" s="52">
        <v>604</v>
      </c>
    </row>
    <row r="7" spans="1:13" x14ac:dyDescent="0.3">
      <c r="A7" t="s">
        <v>168</v>
      </c>
      <c r="B7" s="52">
        <v>0</v>
      </c>
      <c r="C7" s="52">
        <v>0</v>
      </c>
      <c r="D7" s="52">
        <v>0</v>
      </c>
      <c r="E7" s="52">
        <v>0</v>
      </c>
      <c r="F7" s="52">
        <v>0</v>
      </c>
      <c r="G7" s="52">
        <v>693</v>
      </c>
      <c r="H7" s="52">
        <v>764</v>
      </c>
      <c r="I7" s="52">
        <v>745</v>
      </c>
      <c r="J7" s="52">
        <v>811</v>
      </c>
      <c r="K7" s="52">
        <v>960</v>
      </c>
      <c r="L7" s="52">
        <v>1367</v>
      </c>
      <c r="M7" s="52">
        <v>1427</v>
      </c>
    </row>
    <row r="8" spans="1:13" x14ac:dyDescent="0.3">
      <c r="A8" t="s">
        <v>169</v>
      </c>
      <c r="B8" s="52">
        <v>9</v>
      </c>
      <c r="C8" s="52">
        <v>8</v>
      </c>
      <c r="D8" s="52">
        <v>20</v>
      </c>
      <c r="E8" s="52">
        <v>15</v>
      </c>
      <c r="F8" s="52">
        <v>13</v>
      </c>
      <c r="G8" s="52">
        <v>11</v>
      </c>
      <c r="H8" s="52">
        <v>15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</row>
    <row r="9" spans="1:13" x14ac:dyDescent="0.3">
      <c r="A9" t="s">
        <v>170</v>
      </c>
      <c r="B9" s="52">
        <v>3787</v>
      </c>
      <c r="C9" s="52">
        <v>3754</v>
      </c>
      <c r="D9" s="52">
        <v>3711</v>
      </c>
      <c r="E9" s="52">
        <v>4241</v>
      </c>
      <c r="F9" s="52">
        <v>4820</v>
      </c>
      <c r="G9" s="52">
        <v>5459</v>
      </c>
      <c r="H9" s="52">
        <v>4889</v>
      </c>
      <c r="I9" s="52">
        <v>6456</v>
      </c>
      <c r="J9" s="52">
        <v>7560</v>
      </c>
      <c r="K9" s="52">
        <v>7854</v>
      </c>
      <c r="L9" s="52">
        <v>8698</v>
      </c>
      <c r="M9" s="52">
        <v>8665</v>
      </c>
    </row>
    <row r="10" spans="1:13" x14ac:dyDescent="0.3">
      <c r="A10" t="s">
        <v>171</v>
      </c>
      <c r="B10" s="52">
        <v>246</v>
      </c>
      <c r="C10" s="52">
        <v>264</v>
      </c>
      <c r="D10" s="52">
        <v>384</v>
      </c>
      <c r="E10" s="52">
        <v>375</v>
      </c>
      <c r="F10" s="52">
        <v>328</v>
      </c>
      <c r="G10" s="52">
        <v>361</v>
      </c>
      <c r="H10" s="52">
        <v>404</v>
      </c>
      <c r="I10" s="52">
        <v>423</v>
      </c>
      <c r="J10" s="52">
        <v>388</v>
      </c>
      <c r="K10" s="52">
        <v>454</v>
      </c>
      <c r="L10" s="52">
        <v>695</v>
      </c>
      <c r="M10" s="52">
        <v>659</v>
      </c>
    </row>
    <row r="11" spans="1:13" x14ac:dyDescent="0.3">
      <c r="A11" t="s">
        <v>172</v>
      </c>
      <c r="B11" s="52">
        <v>1746</v>
      </c>
      <c r="C11" s="52">
        <v>1549</v>
      </c>
      <c r="D11" s="52">
        <v>1565</v>
      </c>
      <c r="E11" s="52">
        <v>1923</v>
      </c>
      <c r="F11" s="52">
        <v>2160</v>
      </c>
      <c r="G11" s="52">
        <v>2394</v>
      </c>
      <c r="H11" s="52">
        <v>2137</v>
      </c>
      <c r="I11" s="52">
        <v>3379</v>
      </c>
      <c r="J11" s="52">
        <v>4164</v>
      </c>
      <c r="K11" s="52">
        <v>3635</v>
      </c>
      <c r="L11" s="52">
        <v>3831</v>
      </c>
      <c r="M11" s="52">
        <v>3848</v>
      </c>
    </row>
    <row r="12" spans="1:13" x14ac:dyDescent="0.3">
      <c r="A12" t="s">
        <v>173</v>
      </c>
      <c r="B12" s="52">
        <v>0</v>
      </c>
      <c r="C12" s="52">
        <v>5</v>
      </c>
      <c r="D12" s="52">
        <v>12</v>
      </c>
      <c r="E12" s="52">
        <v>17</v>
      </c>
      <c r="F12" s="52">
        <v>16</v>
      </c>
      <c r="G12" s="52">
        <v>13</v>
      </c>
      <c r="H12" s="52">
        <v>29</v>
      </c>
      <c r="I12" s="52">
        <v>41</v>
      </c>
      <c r="J12" s="52">
        <v>76</v>
      </c>
      <c r="K12" s="52">
        <v>108</v>
      </c>
      <c r="L12" s="52">
        <v>154</v>
      </c>
      <c r="M12" s="52">
        <v>173</v>
      </c>
    </row>
    <row r="13" spans="1:13" x14ac:dyDescent="0.3">
      <c r="A13" t="s">
        <v>174</v>
      </c>
      <c r="B13" s="53">
        <v>1795</v>
      </c>
      <c r="C13" s="53">
        <v>1937</v>
      </c>
      <c r="D13" s="53">
        <v>1750</v>
      </c>
      <c r="E13" s="53">
        <v>1925</v>
      </c>
      <c r="F13" s="53">
        <v>2316</v>
      </c>
      <c r="G13" s="53">
        <v>2690</v>
      </c>
      <c r="H13" s="53">
        <v>2320</v>
      </c>
      <c r="I13" s="53">
        <v>2613</v>
      </c>
      <c r="J13" s="53">
        <v>2932</v>
      </c>
      <c r="K13" s="53">
        <v>3657</v>
      </c>
      <c r="L13" s="53">
        <v>4017</v>
      </c>
      <c r="M13" s="53">
        <v>3985</v>
      </c>
    </row>
    <row r="14" spans="1:13" x14ac:dyDescent="0.3">
      <c r="A14" s="54" t="s">
        <v>162</v>
      </c>
      <c r="B14" s="55">
        <v>8075</v>
      </c>
      <c r="C14" s="55">
        <v>8914</v>
      </c>
      <c r="D14" s="55">
        <v>10559</v>
      </c>
      <c r="E14" s="55">
        <v>12405</v>
      </c>
      <c r="F14" s="55">
        <v>13763</v>
      </c>
      <c r="G14" s="55">
        <v>16249</v>
      </c>
      <c r="H14" s="55">
        <v>16138</v>
      </c>
      <c r="I14" s="55">
        <v>20355</v>
      </c>
      <c r="J14" s="55">
        <v>22958</v>
      </c>
      <c r="K14" s="55">
        <v>25779</v>
      </c>
      <c r="L14" s="55">
        <v>29901</v>
      </c>
      <c r="M14" s="55">
        <v>30355</v>
      </c>
    </row>
    <row r="15" spans="1:13" x14ac:dyDescent="0.3">
      <c r="A15" s="2" t="s">
        <v>175</v>
      </c>
      <c r="B15" s="56"/>
      <c r="C15" s="56"/>
      <c r="D15" s="56"/>
      <c r="E15" s="56"/>
      <c r="F15" s="56"/>
      <c r="G15" s="56"/>
      <c r="H15" s="56"/>
      <c r="I15" s="56"/>
      <c r="J15" s="56"/>
      <c r="K15" s="56"/>
      <c r="L15" s="56"/>
      <c r="M15" s="56"/>
    </row>
    <row r="16" spans="1:13" x14ac:dyDescent="0.3">
      <c r="A16" t="s">
        <v>176</v>
      </c>
      <c r="B16" s="52">
        <v>247</v>
      </c>
      <c r="C16" s="52">
        <v>251</v>
      </c>
      <c r="D16" s="52">
        <v>429</v>
      </c>
      <c r="E16" s="52">
        <v>408</v>
      </c>
      <c r="F16" s="52">
        <v>586</v>
      </c>
      <c r="G16" s="52">
        <v>605</v>
      </c>
      <c r="H16" s="52">
        <v>640</v>
      </c>
      <c r="I16" s="52">
        <v>644</v>
      </c>
      <c r="J16" s="52">
        <v>644</v>
      </c>
      <c r="K16" s="52">
        <v>804</v>
      </c>
      <c r="L16" s="52">
        <v>1126</v>
      </c>
      <c r="M16" s="52">
        <v>1050</v>
      </c>
    </row>
    <row r="17" spans="1:13" x14ac:dyDescent="0.3">
      <c r="A17" t="s">
        <v>177</v>
      </c>
      <c r="B17" s="52">
        <v>931</v>
      </c>
      <c r="C17" s="52">
        <v>962</v>
      </c>
      <c r="D17" s="52">
        <v>923</v>
      </c>
      <c r="E17" s="52">
        <v>931</v>
      </c>
      <c r="F17" s="52">
        <v>957</v>
      </c>
      <c r="G17" s="52">
        <v>2402</v>
      </c>
      <c r="H17" s="52">
        <v>2257</v>
      </c>
      <c r="I17" s="52">
        <v>2249</v>
      </c>
      <c r="J17" s="52">
        <v>2325</v>
      </c>
      <c r="K17" s="52">
        <v>2883</v>
      </c>
      <c r="L17" s="52">
        <v>3390</v>
      </c>
      <c r="M17" s="52">
        <v>4136</v>
      </c>
    </row>
    <row r="18" spans="1:13" x14ac:dyDescent="0.3">
      <c r="A18" t="s">
        <v>178</v>
      </c>
      <c r="B18" s="52">
        <v>2054</v>
      </c>
      <c r="C18" s="52">
        <v>2132</v>
      </c>
      <c r="D18" s="52">
        <v>1793</v>
      </c>
      <c r="E18" s="52">
        <v>1980</v>
      </c>
      <c r="F18" s="52">
        <v>2157</v>
      </c>
      <c r="G18" s="52">
        <v>4006</v>
      </c>
      <c r="H18" s="52">
        <v>4208</v>
      </c>
      <c r="I18" s="52">
        <v>4340</v>
      </c>
      <c r="J18" s="52">
        <v>4531</v>
      </c>
      <c r="K18" s="52">
        <v>4825</v>
      </c>
      <c r="L18" s="52">
        <v>5422</v>
      </c>
      <c r="M18" s="52">
        <v>7576</v>
      </c>
    </row>
    <row r="19" spans="1:13" x14ac:dyDescent="0.3">
      <c r="A19" t="s">
        <v>179</v>
      </c>
      <c r="B19" s="52">
        <v>155</v>
      </c>
      <c r="C19" s="52">
        <v>171</v>
      </c>
      <c r="D19" s="52">
        <v>97</v>
      </c>
      <c r="E19" s="52">
        <v>119</v>
      </c>
      <c r="F19" s="52">
        <v>200</v>
      </c>
      <c r="G19" s="52">
        <v>221</v>
      </c>
      <c r="H19" s="52">
        <v>241</v>
      </c>
      <c r="I19" s="52">
        <v>243</v>
      </c>
      <c r="J19" s="52">
        <v>253</v>
      </c>
      <c r="K19" s="52">
        <v>270</v>
      </c>
      <c r="L19" s="52">
        <v>298</v>
      </c>
      <c r="M19" s="52">
        <v>325</v>
      </c>
    </row>
    <row r="20" spans="1:13" x14ac:dyDescent="0.3">
      <c r="A20" t="s">
        <v>180</v>
      </c>
      <c r="B20" s="52">
        <v>71</v>
      </c>
      <c r="C20" s="52">
        <v>83</v>
      </c>
      <c r="D20" s="52">
        <v>49</v>
      </c>
      <c r="E20" s="52">
        <v>59</v>
      </c>
      <c r="F20" s="52">
        <v>72</v>
      </c>
      <c r="G20" s="52">
        <v>88</v>
      </c>
      <c r="H20" s="52">
        <v>94</v>
      </c>
      <c r="I20" s="52">
        <v>99</v>
      </c>
      <c r="J20" s="52">
        <v>113</v>
      </c>
      <c r="K20" s="52">
        <v>146</v>
      </c>
      <c r="L20" s="52">
        <v>175</v>
      </c>
      <c r="M20" s="52">
        <v>203</v>
      </c>
    </row>
    <row r="21" spans="1:13" x14ac:dyDescent="0.3">
      <c r="A21" t="s">
        <v>181</v>
      </c>
      <c r="B21" s="52">
        <v>14</v>
      </c>
      <c r="C21" s="52">
        <v>18</v>
      </c>
      <c r="D21" s="52">
        <v>11</v>
      </c>
      <c r="E21" s="52">
        <v>14</v>
      </c>
      <c r="F21" s="52">
        <v>27</v>
      </c>
      <c r="G21" s="52">
        <v>47</v>
      </c>
      <c r="H21" s="52">
        <v>43</v>
      </c>
      <c r="I21" s="52">
        <v>38</v>
      </c>
      <c r="J21" s="52">
        <v>32</v>
      </c>
      <c r="K21" s="52">
        <v>36</v>
      </c>
      <c r="L21" s="52">
        <v>40</v>
      </c>
      <c r="M21" s="52">
        <v>39</v>
      </c>
    </row>
    <row r="22" spans="1:13" x14ac:dyDescent="0.3">
      <c r="A22" t="s">
        <v>182</v>
      </c>
      <c r="B22" s="52">
        <v>203</v>
      </c>
      <c r="C22" s="52">
        <v>351</v>
      </c>
      <c r="D22" s="52">
        <v>339</v>
      </c>
      <c r="E22" s="52">
        <v>276</v>
      </c>
      <c r="F22" s="52">
        <v>468</v>
      </c>
      <c r="G22" s="52">
        <v>512</v>
      </c>
      <c r="H22" s="52">
        <v>505</v>
      </c>
      <c r="I22" s="52">
        <v>476</v>
      </c>
      <c r="J22" s="52">
        <v>345</v>
      </c>
      <c r="K22" s="52">
        <v>422</v>
      </c>
      <c r="L22" s="52">
        <v>850</v>
      </c>
      <c r="M22" s="52">
        <v>827</v>
      </c>
    </row>
    <row r="23" spans="1:13" x14ac:dyDescent="0.3">
      <c r="A23" t="s">
        <v>183</v>
      </c>
      <c r="B23" s="52">
        <v>128</v>
      </c>
      <c r="C23" s="52">
        <v>145</v>
      </c>
      <c r="D23" s="52">
        <v>103</v>
      </c>
      <c r="E23" s="52">
        <v>128</v>
      </c>
      <c r="F23" s="52">
        <v>238</v>
      </c>
      <c r="G23" s="52">
        <v>261</v>
      </c>
      <c r="H23" s="52">
        <v>293</v>
      </c>
      <c r="I23" s="52">
        <v>302</v>
      </c>
      <c r="J23" s="52">
        <v>294</v>
      </c>
      <c r="K23" s="52">
        <v>289</v>
      </c>
      <c r="L23" s="52">
        <v>321</v>
      </c>
      <c r="M23" s="52">
        <v>328</v>
      </c>
    </row>
    <row r="24" spans="1:13" x14ac:dyDescent="0.3">
      <c r="A24" s="2" t="s">
        <v>184</v>
      </c>
      <c r="B24" s="57">
        <v>3804</v>
      </c>
      <c r="C24" s="57">
        <v>4112</v>
      </c>
      <c r="D24" s="57">
        <v>3744</v>
      </c>
      <c r="E24" s="57">
        <v>3914</v>
      </c>
      <c r="F24" s="57">
        <v>4705</v>
      </c>
      <c r="G24" s="57">
        <v>8141</v>
      </c>
      <c r="H24" s="57">
        <v>8282</v>
      </c>
      <c r="I24" s="57">
        <v>8392</v>
      </c>
      <c r="J24" s="57">
        <v>8538</v>
      </c>
      <c r="K24" s="57">
        <v>9676</v>
      </c>
      <c r="L24" s="57">
        <v>11622</v>
      </c>
      <c r="M24" s="57">
        <v>14484</v>
      </c>
    </row>
    <row r="25" spans="1:13" x14ac:dyDescent="0.3">
      <c r="A25" s="2" t="s">
        <v>185</v>
      </c>
      <c r="B25" s="53">
        <v>1242</v>
      </c>
      <c r="C25" s="53">
        <v>1452</v>
      </c>
      <c r="D25" s="53">
        <v>327</v>
      </c>
      <c r="E25" s="53">
        <v>610</v>
      </c>
      <c r="F25" s="53">
        <v>973</v>
      </c>
      <c r="G25" s="53">
        <v>1644</v>
      </c>
      <c r="H25" s="53">
        <v>2010</v>
      </c>
      <c r="I25" s="53">
        <v>2533</v>
      </c>
      <c r="J25" s="53">
        <v>3019</v>
      </c>
      <c r="K25" s="53">
        <v>3905</v>
      </c>
      <c r="L25" s="53">
        <v>4475</v>
      </c>
      <c r="M25" s="53">
        <v>5264</v>
      </c>
    </row>
    <row r="26" spans="1:13" x14ac:dyDescent="0.3">
      <c r="A26" s="58" t="s">
        <v>14</v>
      </c>
      <c r="B26" s="59">
        <f>B24-B25</f>
        <v>2562</v>
      </c>
      <c r="C26" s="59">
        <f t="shared" ref="C26:M26" si="0">C24-C25</f>
        <v>2660</v>
      </c>
      <c r="D26" s="59">
        <f t="shared" si="0"/>
        <v>3417</v>
      </c>
      <c r="E26" s="59">
        <f t="shared" si="0"/>
        <v>3304</v>
      </c>
      <c r="F26" s="59">
        <f t="shared" si="0"/>
        <v>3732</v>
      </c>
      <c r="G26" s="59">
        <f t="shared" si="0"/>
        <v>6497</v>
      </c>
      <c r="H26" s="59">
        <f t="shared" si="0"/>
        <v>6272</v>
      </c>
      <c r="I26" s="59">
        <f t="shared" si="0"/>
        <v>5859</v>
      </c>
      <c r="J26" s="59">
        <f t="shared" si="0"/>
        <v>5519</v>
      </c>
      <c r="K26" s="59">
        <f t="shared" si="0"/>
        <v>5771</v>
      </c>
      <c r="L26" s="59">
        <f t="shared" si="0"/>
        <v>7147</v>
      </c>
      <c r="M26" s="59">
        <f t="shared" si="0"/>
        <v>9220</v>
      </c>
    </row>
    <row r="27" spans="1:13" x14ac:dyDescent="0.3">
      <c r="A27" s="2"/>
      <c r="B27" s="56"/>
      <c r="C27" s="56"/>
      <c r="D27" s="56"/>
      <c r="E27" s="56"/>
      <c r="F27" s="56"/>
      <c r="G27" s="56"/>
      <c r="H27" s="56"/>
      <c r="I27" s="56"/>
      <c r="J27" s="56"/>
      <c r="K27" s="56"/>
      <c r="L27" s="56"/>
      <c r="M27" s="56"/>
    </row>
    <row r="28" spans="1:13" x14ac:dyDescent="0.3">
      <c r="A28" s="2" t="s">
        <v>186</v>
      </c>
      <c r="B28" s="52">
        <v>72</v>
      </c>
      <c r="C28" s="52">
        <v>196</v>
      </c>
      <c r="D28" s="52">
        <v>107</v>
      </c>
      <c r="E28" s="52">
        <v>258</v>
      </c>
      <c r="F28" s="52">
        <v>1405</v>
      </c>
      <c r="G28" s="52">
        <v>210</v>
      </c>
      <c r="H28" s="52">
        <v>140</v>
      </c>
      <c r="I28" s="52">
        <v>183</v>
      </c>
      <c r="J28" s="52">
        <v>426</v>
      </c>
      <c r="K28" s="52">
        <v>1020</v>
      </c>
      <c r="L28" s="52">
        <v>2698</v>
      </c>
      <c r="M28" s="52">
        <v>1254</v>
      </c>
    </row>
    <row r="29" spans="1:13" x14ac:dyDescent="0.3">
      <c r="A29" s="2" t="s">
        <v>16</v>
      </c>
      <c r="B29" s="52">
        <v>1424</v>
      </c>
      <c r="C29" s="52">
        <v>1588</v>
      </c>
      <c r="D29" s="52">
        <v>2712</v>
      </c>
      <c r="E29" s="52">
        <v>2652</v>
      </c>
      <c r="F29" s="52">
        <v>2141</v>
      </c>
      <c r="G29" s="52">
        <v>2569</v>
      </c>
      <c r="H29" s="52">
        <v>2019</v>
      </c>
      <c r="I29" s="52">
        <v>4737</v>
      </c>
      <c r="J29" s="52">
        <v>3248</v>
      </c>
      <c r="K29" s="52">
        <v>4262</v>
      </c>
      <c r="L29" s="52">
        <v>4588</v>
      </c>
      <c r="M29" s="52">
        <v>4725</v>
      </c>
    </row>
    <row r="30" spans="1:13" x14ac:dyDescent="0.3">
      <c r="A30" s="2"/>
      <c r="B30" s="56"/>
      <c r="C30" s="56"/>
      <c r="D30" s="56"/>
      <c r="E30" s="56"/>
      <c r="F30" s="56"/>
      <c r="G30" s="56"/>
      <c r="H30" s="56"/>
      <c r="I30" s="56"/>
      <c r="J30" s="56"/>
      <c r="K30" s="56"/>
      <c r="L30" s="56"/>
      <c r="M30" s="56"/>
    </row>
    <row r="31" spans="1:13" x14ac:dyDescent="0.3">
      <c r="A31" s="2" t="s">
        <v>187</v>
      </c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</row>
    <row r="32" spans="1:13" x14ac:dyDescent="0.3">
      <c r="A32" t="s">
        <v>188</v>
      </c>
      <c r="B32" s="52">
        <v>2070</v>
      </c>
      <c r="C32" s="52">
        <v>2259</v>
      </c>
      <c r="D32" s="52">
        <v>1998</v>
      </c>
      <c r="E32" s="52">
        <v>2627</v>
      </c>
      <c r="F32" s="52">
        <v>2658</v>
      </c>
      <c r="G32" s="52">
        <v>3150</v>
      </c>
      <c r="H32" s="52">
        <v>3390</v>
      </c>
      <c r="I32" s="52">
        <v>3799</v>
      </c>
      <c r="J32" s="52">
        <v>6153</v>
      </c>
      <c r="K32" s="52">
        <v>6211</v>
      </c>
      <c r="L32" s="52">
        <v>5923</v>
      </c>
      <c r="M32" s="52">
        <v>6719</v>
      </c>
    </row>
    <row r="33" spans="1:13" x14ac:dyDescent="0.3">
      <c r="A33" t="s">
        <v>189</v>
      </c>
      <c r="B33" s="52">
        <v>1110</v>
      </c>
      <c r="C33" s="52">
        <v>1182</v>
      </c>
      <c r="D33" s="52">
        <v>1187</v>
      </c>
      <c r="E33" s="52">
        <v>1447</v>
      </c>
      <c r="F33" s="52">
        <v>1731</v>
      </c>
      <c r="G33" s="52">
        <v>1907</v>
      </c>
      <c r="H33" s="52">
        <v>1795</v>
      </c>
      <c r="I33" s="52">
        <v>2602</v>
      </c>
      <c r="J33" s="52">
        <v>3871</v>
      </c>
      <c r="K33" s="52">
        <v>4637</v>
      </c>
      <c r="L33" s="52">
        <v>4889</v>
      </c>
      <c r="M33" s="52">
        <v>4314</v>
      </c>
    </row>
    <row r="34" spans="1:13" x14ac:dyDescent="0.3">
      <c r="A34" t="s">
        <v>190</v>
      </c>
      <c r="B34" s="52">
        <v>-50</v>
      </c>
      <c r="C34" s="52">
        <v>-59</v>
      </c>
      <c r="D34" s="52">
        <v>-67</v>
      </c>
      <c r="E34" s="52">
        <v>-79</v>
      </c>
      <c r="F34" s="52">
        <v>-89</v>
      </c>
      <c r="G34" s="52">
        <v>-121</v>
      </c>
      <c r="H34" s="52">
        <v>-155</v>
      </c>
      <c r="I34" s="52">
        <v>-185</v>
      </c>
      <c r="J34" s="52">
        <v>-241</v>
      </c>
      <c r="K34" s="52">
        <v>-305</v>
      </c>
      <c r="L34" s="52">
        <v>-422</v>
      </c>
      <c r="M34" s="52">
        <v>-663</v>
      </c>
    </row>
    <row r="35" spans="1:13" x14ac:dyDescent="0.3">
      <c r="A35" t="s">
        <v>191</v>
      </c>
      <c r="B35" s="52">
        <v>229</v>
      </c>
      <c r="C35" s="52">
        <v>204</v>
      </c>
      <c r="D35" s="52">
        <v>424</v>
      </c>
      <c r="E35" s="52">
        <v>801</v>
      </c>
      <c r="F35" s="52">
        <v>405</v>
      </c>
      <c r="G35" s="52">
        <v>445</v>
      </c>
      <c r="H35" s="52">
        <v>783</v>
      </c>
      <c r="I35" s="52">
        <v>611</v>
      </c>
      <c r="J35" s="52">
        <v>864</v>
      </c>
      <c r="K35" s="52">
        <v>844</v>
      </c>
      <c r="L35" s="52">
        <v>1084</v>
      </c>
      <c r="M35" s="52">
        <v>782</v>
      </c>
    </row>
    <row r="36" spans="1:13" x14ac:dyDescent="0.3">
      <c r="A36" t="s">
        <v>192</v>
      </c>
      <c r="B36" s="52">
        <v>7</v>
      </c>
      <c r="C36" s="52">
        <v>8</v>
      </c>
      <c r="D36" s="52">
        <v>9</v>
      </c>
      <c r="E36" s="52">
        <v>14</v>
      </c>
      <c r="F36" s="52">
        <v>13</v>
      </c>
      <c r="G36" s="52">
        <v>16</v>
      </c>
      <c r="H36" s="52">
        <v>12</v>
      </c>
      <c r="I36" s="52">
        <v>11</v>
      </c>
      <c r="J36" s="52">
        <v>8</v>
      </c>
      <c r="K36" s="52">
        <v>12</v>
      </c>
      <c r="L36" s="52">
        <v>17</v>
      </c>
      <c r="M36" s="52">
        <v>22</v>
      </c>
    </row>
    <row r="37" spans="1:13" x14ac:dyDescent="0.3">
      <c r="A37" t="s">
        <v>193</v>
      </c>
      <c r="B37" s="60">
        <v>603</v>
      </c>
      <c r="C37" s="60">
        <v>817</v>
      </c>
      <c r="D37" s="60">
        <v>705</v>
      </c>
      <c r="E37" s="60">
        <v>1303</v>
      </c>
      <c r="F37" s="60">
        <v>1678</v>
      </c>
      <c r="G37" s="60">
        <v>1456</v>
      </c>
      <c r="H37" s="60">
        <v>1727</v>
      </c>
      <c r="I37" s="60">
        <v>2555</v>
      </c>
      <c r="J37" s="60">
        <v>2869</v>
      </c>
      <c r="K37" s="60">
        <v>3024</v>
      </c>
      <c r="L37" s="60">
        <v>3555</v>
      </c>
      <c r="M37" s="60">
        <v>3319</v>
      </c>
    </row>
    <row r="38" spans="1:13" x14ac:dyDescent="0.3">
      <c r="A38" s="54" t="s">
        <v>79</v>
      </c>
      <c r="B38" s="55">
        <v>8075</v>
      </c>
      <c r="C38" s="55">
        <v>8914</v>
      </c>
      <c r="D38" s="55">
        <v>10559</v>
      </c>
      <c r="E38" s="55">
        <v>12405</v>
      </c>
      <c r="F38" s="55">
        <v>13763</v>
      </c>
      <c r="G38" s="55">
        <v>16249</v>
      </c>
      <c r="H38" s="55">
        <v>16138</v>
      </c>
      <c r="I38" s="55">
        <v>20355</v>
      </c>
      <c r="J38" s="55">
        <v>22958</v>
      </c>
      <c r="K38" s="55">
        <v>25779</v>
      </c>
      <c r="L38" s="55">
        <v>29901</v>
      </c>
      <c r="M38" s="55">
        <v>30355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6FE5A-1E0B-47C5-BE26-BEE97B2F6742}">
  <dimension ref="B2:N34"/>
  <sheetViews>
    <sheetView workbookViewId="0">
      <selection activeCell="Q13" sqref="Q13"/>
    </sheetView>
  </sheetViews>
  <sheetFormatPr defaultRowHeight="14.4" x14ac:dyDescent="0.3"/>
  <cols>
    <col min="2" max="2" width="43" customWidth="1"/>
  </cols>
  <sheetData>
    <row r="2" spans="2:14" x14ac:dyDescent="0.3">
      <c r="C2" s="29">
        <v>41699</v>
      </c>
      <c r="D2" s="29">
        <v>42064</v>
      </c>
      <c r="E2" s="29">
        <v>42430</v>
      </c>
      <c r="F2" s="29">
        <v>42795</v>
      </c>
      <c r="G2" s="29">
        <v>43160</v>
      </c>
      <c r="H2" s="29">
        <v>43525</v>
      </c>
      <c r="I2" s="29">
        <v>43891</v>
      </c>
      <c r="J2" s="29">
        <v>44256</v>
      </c>
      <c r="K2" s="29">
        <v>44621</v>
      </c>
      <c r="L2" s="29">
        <v>44986</v>
      </c>
      <c r="M2" s="29">
        <v>45352</v>
      </c>
      <c r="N2" s="29">
        <v>45717</v>
      </c>
    </row>
    <row r="3" spans="2:14" x14ac:dyDescent="0.3">
      <c r="B3" t="s">
        <v>85</v>
      </c>
      <c r="C3" s="30">
        <v>2463</v>
      </c>
      <c r="D3" s="30">
        <v>-2214</v>
      </c>
      <c r="E3" s="30">
        <v>2703</v>
      </c>
      <c r="F3" s="30">
        <v>1453</v>
      </c>
      <c r="G3" s="30">
        <v>4134</v>
      </c>
      <c r="H3" s="30">
        <v>6293</v>
      </c>
      <c r="I3" s="30">
        <v>-1455</v>
      </c>
      <c r="J3" s="30">
        <v>6680</v>
      </c>
      <c r="K3" s="30">
        <v>5282</v>
      </c>
      <c r="L3" s="30">
        <v>4775</v>
      </c>
      <c r="M3" s="30">
        <v>8662</v>
      </c>
      <c r="N3" s="30">
        <v>9795</v>
      </c>
    </row>
    <row r="4" spans="2:14" x14ac:dyDescent="0.3">
      <c r="B4" t="s">
        <v>86</v>
      </c>
      <c r="C4">
        <v>-563</v>
      </c>
      <c r="D4">
        <v>-620</v>
      </c>
      <c r="E4" s="30">
        <v>3502</v>
      </c>
      <c r="F4" s="30">
        <v>1662</v>
      </c>
      <c r="G4" s="30">
        <v>4091</v>
      </c>
      <c r="H4" s="30">
        <v>6167</v>
      </c>
      <c r="I4">
        <v>439</v>
      </c>
      <c r="J4" s="30">
        <v>1961</v>
      </c>
      <c r="K4" s="30">
        <v>2683</v>
      </c>
      <c r="L4" s="30">
        <v>5010</v>
      </c>
      <c r="M4" s="30">
        <v>8523</v>
      </c>
      <c r="N4" s="30">
        <v>8615</v>
      </c>
    </row>
    <row r="5" spans="2:14" x14ac:dyDescent="0.3">
      <c r="B5" t="s">
        <v>43</v>
      </c>
      <c r="C5">
        <v>381</v>
      </c>
      <c r="D5">
        <v>-20</v>
      </c>
      <c r="E5">
        <v>-678</v>
      </c>
      <c r="F5">
        <v>-199</v>
      </c>
      <c r="G5" s="30">
        <v>-1217</v>
      </c>
      <c r="H5">
        <v>164</v>
      </c>
      <c r="I5" s="30">
        <v>1168</v>
      </c>
      <c r="J5">
        <v>-142</v>
      </c>
      <c r="K5" s="30">
        <v>-1016</v>
      </c>
      <c r="L5">
        <v>-306</v>
      </c>
      <c r="M5">
        <v>-553</v>
      </c>
      <c r="N5">
        <v>388</v>
      </c>
    </row>
    <row r="6" spans="2:14" x14ac:dyDescent="0.3">
      <c r="B6" t="s">
        <v>30</v>
      </c>
      <c r="C6">
        <v>592</v>
      </c>
      <c r="D6">
        <v>-940</v>
      </c>
      <c r="E6">
        <v>-235</v>
      </c>
      <c r="F6">
        <v>-572</v>
      </c>
      <c r="G6">
        <v>-278</v>
      </c>
      <c r="H6">
        <v>966</v>
      </c>
      <c r="I6">
        <v>730</v>
      </c>
      <c r="J6">
        <v>-765</v>
      </c>
      <c r="K6" s="30">
        <v>-1201</v>
      </c>
      <c r="L6">
        <v>658</v>
      </c>
      <c r="M6">
        <v>-541</v>
      </c>
      <c r="N6">
        <v>257</v>
      </c>
    </row>
    <row r="7" spans="2:14" x14ac:dyDescent="0.3">
      <c r="B7" t="s">
        <v>87</v>
      </c>
      <c r="C7" s="30">
        <v>1213</v>
      </c>
      <c r="D7">
        <v>-843</v>
      </c>
      <c r="E7">
        <v>76</v>
      </c>
      <c r="F7" s="30">
        <v>2314</v>
      </c>
      <c r="G7" s="30">
        <v>2764</v>
      </c>
      <c r="H7">
        <v>-725</v>
      </c>
      <c r="I7" s="30">
        <v>-2689</v>
      </c>
      <c r="J7" s="30">
        <v>4965</v>
      </c>
      <c r="K7" s="30">
        <v>5285</v>
      </c>
      <c r="L7">
        <v>-957</v>
      </c>
      <c r="M7">
        <v>315</v>
      </c>
      <c r="N7">
        <v>-56</v>
      </c>
    </row>
    <row r="8" spans="2:14" x14ac:dyDescent="0.3">
      <c r="B8" t="s">
        <v>88</v>
      </c>
      <c r="C8">
        <v>0</v>
      </c>
      <c r="D8">
        <v>0</v>
      </c>
      <c r="E8">
        <v>-55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2:14" x14ac:dyDescent="0.3">
      <c r="B9" t="s">
        <v>89</v>
      </c>
      <c r="C9">
        <v>896</v>
      </c>
      <c r="D9">
        <v>286</v>
      </c>
      <c r="E9">
        <v>115</v>
      </c>
      <c r="F9" s="30">
        <v>-1636</v>
      </c>
      <c r="G9" s="30">
        <v>-1217</v>
      </c>
      <c r="H9">
        <v>-97</v>
      </c>
      <c r="I9" s="30">
        <v>-1011</v>
      </c>
      <c r="J9">
        <v>725</v>
      </c>
      <c r="K9">
        <v>-314</v>
      </c>
      <c r="L9">
        <v>539</v>
      </c>
      <c r="M9" s="30">
        <v>1164</v>
      </c>
      <c r="N9">
        <v>583</v>
      </c>
    </row>
    <row r="10" spans="2:14" x14ac:dyDescent="0.3">
      <c r="B10" t="s">
        <v>90</v>
      </c>
      <c r="C10" s="30">
        <v>3082</v>
      </c>
      <c r="D10" s="30">
        <v>-1517</v>
      </c>
      <c r="E10">
        <v>-776</v>
      </c>
      <c r="F10">
        <v>-93</v>
      </c>
      <c r="G10">
        <v>52</v>
      </c>
      <c r="H10">
        <v>308</v>
      </c>
      <c r="I10" s="30">
        <v>-1801</v>
      </c>
      <c r="J10" s="30">
        <v>4783</v>
      </c>
      <c r="K10" s="30">
        <v>2755</v>
      </c>
      <c r="L10">
        <v>-67</v>
      </c>
      <c r="M10">
        <v>385</v>
      </c>
      <c r="N10" s="30">
        <v>1172</v>
      </c>
    </row>
    <row r="11" spans="2:14" x14ac:dyDescent="0.3">
      <c r="B11" t="s">
        <v>91</v>
      </c>
      <c r="C11">
        <v>-56</v>
      </c>
      <c r="D11">
        <v>-78</v>
      </c>
      <c r="E11">
        <v>-24</v>
      </c>
      <c r="F11">
        <v>-115</v>
      </c>
      <c r="G11">
        <v>-8</v>
      </c>
      <c r="H11">
        <v>-182</v>
      </c>
      <c r="I11">
        <v>-93</v>
      </c>
      <c r="J11">
        <v>-63</v>
      </c>
      <c r="K11">
        <v>-156</v>
      </c>
      <c r="L11">
        <v>-168</v>
      </c>
      <c r="M11">
        <v>-246</v>
      </c>
      <c r="N11">
        <v>8</v>
      </c>
    </row>
    <row r="12" spans="2:14" x14ac:dyDescent="0.3">
      <c r="B12" t="s">
        <v>92</v>
      </c>
      <c r="C12" s="30">
        <v>2563</v>
      </c>
      <c r="D12">
        <v>246</v>
      </c>
      <c r="E12" s="30">
        <v>-3264</v>
      </c>
      <c r="F12" s="30">
        <v>-2860</v>
      </c>
      <c r="G12">
        <v>-710</v>
      </c>
      <c r="H12" s="30">
        <v>-3822</v>
      </c>
      <c r="I12" s="30">
        <v>-4637</v>
      </c>
      <c r="J12" s="30">
        <v>-2988</v>
      </c>
      <c r="K12" s="30">
        <v>-4681</v>
      </c>
      <c r="L12">
        <v>917</v>
      </c>
      <c r="M12" s="30">
        <v>1492</v>
      </c>
      <c r="N12" s="30">
        <v>-3821</v>
      </c>
    </row>
    <row r="13" spans="2:14" x14ac:dyDescent="0.3">
      <c r="B13" t="s">
        <v>93</v>
      </c>
      <c r="C13" s="30">
        <v>-3105</v>
      </c>
      <c r="D13" s="30">
        <v>-3079</v>
      </c>
      <c r="E13" s="30">
        <v>-3284</v>
      </c>
      <c r="F13" s="30">
        <v>-3514</v>
      </c>
      <c r="G13" s="30">
        <v>-2823</v>
      </c>
      <c r="H13" s="30">
        <v>-4783</v>
      </c>
      <c r="I13" s="30">
        <v>-4669</v>
      </c>
      <c r="J13" s="30">
        <v>-1856</v>
      </c>
      <c r="K13" s="30">
        <v>-1831</v>
      </c>
      <c r="L13" s="30">
        <v>-1697</v>
      </c>
      <c r="M13" s="30">
        <v>-1991</v>
      </c>
      <c r="N13" s="30">
        <v>-2043</v>
      </c>
    </row>
    <row r="14" spans="2:14" x14ac:dyDescent="0.3">
      <c r="B14" t="s">
        <v>94</v>
      </c>
      <c r="C14">
        <v>11</v>
      </c>
      <c r="D14">
        <v>25</v>
      </c>
      <c r="E14">
        <v>34</v>
      </c>
      <c r="F14">
        <v>17</v>
      </c>
      <c r="G14">
        <v>28</v>
      </c>
      <c r="H14">
        <v>30</v>
      </c>
      <c r="I14">
        <v>155</v>
      </c>
      <c r="J14">
        <v>178</v>
      </c>
      <c r="K14">
        <v>100</v>
      </c>
      <c r="L14">
        <v>123</v>
      </c>
      <c r="M14">
        <v>39</v>
      </c>
      <c r="N14">
        <v>113</v>
      </c>
    </row>
    <row r="15" spans="2:14" x14ac:dyDescent="0.3">
      <c r="B15" t="s">
        <v>95</v>
      </c>
      <c r="C15">
        <v>0</v>
      </c>
      <c r="D15">
        <v>0</v>
      </c>
      <c r="E15" s="30">
        <v>-1669</v>
      </c>
      <c r="F15">
        <v>-537</v>
      </c>
      <c r="G15">
        <v>0</v>
      </c>
      <c r="H15">
        <v>0</v>
      </c>
      <c r="I15">
        <v>0</v>
      </c>
      <c r="J15">
        <v>-673</v>
      </c>
      <c r="K15" s="30">
        <v>-3560</v>
      </c>
      <c r="L15">
        <v>0</v>
      </c>
      <c r="M15">
        <v>-33</v>
      </c>
      <c r="N15">
        <v>-793</v>
      </c>
    </row>
    <row r="16" spans="2:14" x14ac:dyDescent="0.3">
      <c r="B16" t="s">
        <v>96</v>
      </c>
      <c r="C16" s="30">
        <v>4424</v>
      </c>
      <c r="D16" s="30">
        <v>1871</v>
      </c>
      <c r="E16">
        <v>832</v>
      </c>
      <c r="F16">
        <v>0</v>
      </c>
      <c r="G16" s="30">
        <v>1026</v>
      </c>
      <c r="H16">
        <v>952</v>
      </c>
      <c r="I16">
        <v>359</v>
      </c>
      <c r="J16">
        <v>4</v>
      </c>
      <c r="K16">
        <v>0</v>
      </c>
      <c r="L16" s="30">
        <v>2079</v>
      </c>
      <c r="M16" s="30">
        <v>1282</v>
      </c>
      <c r="N16">
        <v>35</v>
      </c>
    </row>
    <row r="17" spans="2:14" x14ac:dyDescent="0.3">
      <c r="B17" t="s">
        <v>97</v>
      </c>
      <c r="C17">
        <v>182</v>
      </c>
      <c r="D17">
        <v>80</v>
      </c>
      <c r="E17">
        <v>254</v>
      </c>
      <c r="F17">
        <v>259</v>
      </c>
      <c r="G17">
        <v>399</v>
      </c>
      <c r="H17">
        <v>327</v>
      </c>
      <c r="I17">
        <v>471</v>
      </c>
      <c r="J17">
        <v>154</v>
      </c>
      <c r="K17">
        <v>301</v>
      </c>
      <c r="L17">
        <v>185</v>
      </c>
      <c r="M17">
        <v>180</v>
      </c>
      <c r="N17">
        <v>346</v>
      </c>
    </row>
    <row r="18" spans="2:14" x14ac:dyDescent="0.3">
      <c r="B18" t="s">
        <v>98</v>
      </c>
      <c r="C18" s="30">
        <v>1603</v>
      </c>
      <c r="D18" s="30">
        <v>1698</v>
      </c>
      <c r="E18" s="30">
        <v>1042</v>
      </c>
      <c r="F18">
        <v>673</v>
      </c>
      <c r="G18" s="30">
        <v>1055</v>
      </c>
      <c r="H18" s="30">
        <v>1569</v>
      </c>
      <c r="I18">
        <v>241</v>
      </c>
      <c r="J18">
        <v>20</v>
      </c>
      <c r="K18">
        <v>80</v>
      </c>
      <c r="L18">
        <v>319</v>
      </c>
      <c r="M18">
        <v>655</v>
      </c>
      <c r="N18" s="30">
        <v>1988</v>
      </c>
    </row>
    <row r="19" spans="2:14" x14ac:dyDescent="0.3">
      <c r="B19" t="s">
        <v>99</v>
      </c>
      <c r="C19">
        <v>-578</v>
      </c>
      <c r="D19">
        <v>-137</v>
      </c>
      <c r="E19">
        <v>-60</v>
      </c>
      <c r="F19">
        <v>-139</v>
      </c>
      <c r="G19">
        <v>-300</v>
      </c>
      <c r="H19">
        <v>-838</v>
      </c>
      <c r="I19">
        <v>-467</v>
      </c>
      <c r="J19">
        <v>0</v>
      </c>
      <c r="K19">
        <v>-871</v>
      </c>
      <c r="L19">
        <v>-191</v>
      </c>
      <c r="M19">
        <v>-678</v>
      </c>
      <c r="N19" s="30">
        <v>-1121</v>
      </c>
    </row>
    <row r="20" spans="2:14" x14ac:dyDescent="0.3">
      <c r="B20" t="s">
        <v>100</v>
      </c>
      <c r="C20">
        <v>152</v>
      </c>
      <c r="D20">
        <v>0</v>
      </c>
      <c r="E20">
        <v>-78</v>
      </c>
      <c r="F20">
        <v>0</v>
      </c>
      <c r="G20">
        <v>0</v>
      </c>
      <c r="H20">
        <v>0</v>
      </c>
      <c r="I20">
        <v>-8</v>
      </c>
      <c r="J20">
        <v>-57</v>
      </c>
      <c r="K20">
        <v>-51</v>
      </c>
      <c r="L20">
        <v>-45</v>
      </c>
      <c r="M20">
        <v>-16</v>
      </c>
      <c r="N20">
        <v>-166</v>
      </c>
    </row>
    <row r="21" spans="2:14" x14ac:dyDescent="0.3">
      <c r="B21" t="s">
        <v>101</v>
      </c>
      <c r="C21">
        <v>-325</v>
      </c>
      <c r="D21">
        <v>-159</v>
      </c>
      <c r="E21">
        <v>0</v>
      </c>
      <c r="F21">
        <v>0</v>
      </c>
      <c r="G21">
        <v>-44</v>
      </c>
      <c r="H21">
        <v>0</v>
      </c>
      <c r="I21">
        <v>0</v>
      </c>
      <c r="J21">
        <v>0</v>
      </c>
      <c r="K21">
        <v>0</v>
      </c>
      <c r="L21">
        <v>0</v>
      </c>
      <c r="M21">
        <v>-150</v>
      </c>
      <c r="N21">
        <v>0</v>
      </c>
    </row>
    <row r="22" spans="2:14" x14ac:dyDescent="0.3">
      <c r="B22" t="s">
        <v>102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26</v>
      </c>
      <c r="J22">
        <v>10</v>
      </c>
      <c r="K22">
        <v>234</v>
      </c>
      <c r="L22">
        <v>0</v>
      </c>
      <c r="M22" s="30">
        <v>3812</v>
      </c>
      <c r="N22">
        <v>150</v>
      </c>
    </row>
    <row r="23" spans="2:14" x14ac:dyDescent="0.3">
      <c r="B23" t="s">
        <v>103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2:14" x14ac:dyDescent="0.3">
      <c r="B24" t="s">
        <v>104</v>
      </c>
      <c r="C24">
        <v>-40</v>
      </c>
      <c r="D24">
        <v>-5</v>
      </c>
      <c r="E24">
        <v>-35</v>
      </c>
      <c r="F24">
        <v>20</v>
      </c>
      <c r="G24">
        <v>60</v>
      </c>
      <c r="H24">
        <v>-2</v>
      </c>
      <c r="I24">
        <v>-10</v>
      </c>
      <c r="J24">
        <v>-30</v>
      </c>
      <c r="K24">
        <v>0</v>
      </c>
      <c r="L24">
        <v>-15</v>
      </c>
      <c r="M24">
        <v>-95</v>
      </c>
      <c r="N24" s="30">
        <v>-2923</v>
      </c>
    </row>
    <row r="25" spans="2:14" x14ac:dyDescent="0.3">
      <c r="B25" t="s">
        <v>105</v>
      </c>
      <c r="C25">
        <v>241</v>
      </c>
      <c r="D25">
        <v>-48</v>
      </c>
      <c r="E25">
        <v>-301</v>
      </c>
      <c r="F25">
        <v>361</v>
      </c>
      <c r="G25">
        <v>-111</v>
      </c>
      <c r="H25" s="30">
        <v>-1076</v>
      </c>
      <c r="I25">
        <v>-736</v>
      </c>
      <c r="J25">
        <v>-740</v>
      </c>
      <c r="K25">
        <v>917</v>
      </c>
      <c r="L25">
        <v>160</v>
      </c>
      <c r="M25" s="30">
        <v>-1513</v>
      </c>
      <c r="N25">
        <v>593</v>
      </c>
    </row>
    <row r="26" spans="2:14" x14ac:dyDescent="0.3">
      <c r="B26" t="s">
        <v>106</v>
      </c>
      <c r="C26" s="30">
        <v>-5034</v>
      </c>
      <c r="D26" s="30">
        <v>2632</v>
      </c>
      <c r="E26">
        <v>-79</v>
      </c>
      <c r="F26" s="30">
        <v>1209</v>
      </c>
      <c r="G26" s="30">
        <v>-3106</v>
      </c>
      <c r="H26" s="30">
        <v>-2530</v>
      </c>
      <c r="I26" s="30">
        <v>7749</v>
      </c>
      <c r="J26" s="30">
        <v>-3472</v>
      </c>
      <c r="K26">
        <v>-516</v>
      </c>
      <c r="L26" s="30">
        <v>-7021</v>
      </c>
      <c r="M26" s="30">
        <v>-7930</v>
      </c>
      <c r="N26" s="30">
        <v>-8932</v>
      </c>
    </row>
    <row r="27" spans="2:14" x14ac:dyDescent="0.3">
      <c r="B27" t="s">
        <v>107</v>
      </c>
      <c r="C27">
        <v>0</v>
      </c>
      <c r="D27">
        <v>0</v>
      </c>
      <c r="E27" s="30">
        <v>7433</v>
      </c>
      <c r="F27">
        <v>5</v>
      </c>
      <c r="G27">
        <v>0</v>
      </c>
      <c r="H27">
        <v>0</v>
      </c>
      <c r="I27" s="30">
        <v>3889</v>
      </c>
      <c r="J27" s="30">
        <v>2603</v>
      </c>
      <c r="K27">
        <v>19</v>
      </c>
      <c r="L27">
        <v>20</v>
      </c>
      <c r="M27">
        <v>82</v>
      </c>
      <c r="N27" s="30">
        <v>1108</v>
      </c>
    </row>
    <row r="28" spans="2:14" x14ac:dyDescent="0.3">
      <c r="B28" t="s">
        <v>108</v>
      </c>
      <c r="C28" s="30">
        <v>9385</v>
      </c>
      <c r="D28" s="30">
        <v>12817</v>
      </c>
      <c r="E28" s="30">
        <v>3587</v>
      </c>
      <c r="F28" s="30">
        <v>10687</v>
      </c>
      <c r="G28" s="30">
        <v>6406</v>
      </c>
      <c r="H28" s="30">
        <v>8805</v>
      </c>
      <c r="I28" s="30">
        <v>15462</v>
      </c>
      <c r="J28" s="30">
        <v>6985</v>
      </c>
      <c r="K28" s="30">
        <v>10408</v>
      </c>
      <c r="L28">
        <v>887</v>
      </c>
      <c r="M28">
        <v>783</v>
      </c>
      <c r="N28" s="30">
        <v>2262</v>
      </c>
    </row>
    <row r="29" spans="2:14" x14ac:dyDescent="0.3">
      <c r="B29" t="s">
        <v>109</v>
      </c>
      <c r="C29" s="30">
        <v>-10912</v>
      </c>
      <c r="D29" s="30">
        <v>-6890</v>
      </c>
      <c r="E29" s="30">
        <v>-9013</v>
      </c>
      <c r="F29" s="30">
        <v>-7473</v>
      </c>
      <c r="G29" s="30">
        <v>-7410</v>
      </c>
      <c r="H29" s="30">
        <v>-8977</v>
      </c>
      <c r="I29" s="30">
        <v>-9128</v>
      </c>
      <c r="J29" s="30">
        <v>-10438</v>
      </c>
      <c r="K29" s="30">
        <v>-8517</v>
      </c>
      <c r="L29" s="30">
        <v>-5852</v>
      </c>
      <c r="M29" s="30">
        <v>-6031</v>
      </c>
      <c r="N29" s="30">
        <v>-7281</v>
      </c>
    </row>
    <row r="30" spans="2:14" x14ac:dyDescent="0.3">
      <c r="B30" t="s">
        <v>110</v>
      </c>
      <c r="C30" s="30">
        <v>-1750</v>
      </c>
      <c r="D30" s="30">
        <v>-1845</v>
      </c>
      <c r="E30" s="30">
        <v>-2086</v>
      </c>
      <c r="F30" s="30">
        <v>-1936</v>
      </c>
      <c r="G30" s="30">
        <v>-2098</v>
      </c>
      <c r="H30" s="30">
        <v>-2355</v>
      </c>
      <c r="I30" s="30">
        <v>-2270</v>
      </c>
      <c r="J30" s="30">
        <v>-2427</v>
      </c>
      <c r="K30" s="30">
        <v>-2272</v>
      </c>
      <c r="L30" s="30">
        <v>-2008</v>
      </c>
      <c r="M30" s="30">
        <v>-1839</v>
      </c>
      <c r="N30" s="30">
        <v>-1159</v>
      </c>
    </row>
    <row r="31" spans="2:14" x14ac:dyDescent="0.3">
      <c r="B31" t="s">
        <v>111</v>
      </c>
      <c r="C31">
        <v>-649</v>
      </c>
      <c r="D31">
        <v>-649</v>
      </c>
      <c r="E31">
        <v>0</v>
      </c>
      <c r="F31">
        <v>-73</v>
      </c>
      <c r="G31">
        <v>-3</v>
      </c>
      <c r="H31">
        <v>-3</v>
      </c>
      <c r="I31">
        <v>-4</v>
      </c>
      <c r="J31">
        <v>-2</v>
      </c>
      <c r="K31">
        <v>-2</v>
      </c>
      <c r="L31">
        <v>0</v>
      </c>
      <c r="M31">
        <v>-770</v>
      </c>
      <c r="N31" s="30">
        <v>-2304</v>
      </c>
    </row>
    <row r="32" spans="2:14" x14ac:dyDescent="0.3">
      <c r="B32" t="s">
        <v>112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-194</v>
      </c>
      <c r="J32">
        <v>-192</v>
      </c>
      <c r="K32">
        <v>-152</v>
      </c>
      <c r="L32">
        <v>-68</v>
      </c>
      <c r="M32">
        <v>-155</v>
      </c>
      <c r="N32">
        <v>-422</v>
      </c>
    </row>
    <row r="33" spans="2:14" x14ac:dyDescent="0.3">
      <c r="B33" t="s">
        <v>113</v>
      </c>
      <c r="C33" s="30">
        <v>-1108</v>
      </c>
      <c r="D33">
        <v>-801</v>
      </c>
      <c r="E33">
        <v>0</v>
      </c>
      <c r="F33">
        <v>0</v>
      </c>
      <c r="G33">
        <v>0</v>
      </c>
      <c r="H33">
        <v>0</v>
      </c>
      <c r="I33">
        <v>-7</v>
      </c>
      <c r="J33">
        <v>0</v>
      </c>
      <c r="K33">
        <v>0</v>
      </c>
      <c r="L33">
        <v>0</v>
      </c>
      <c r="M33">
        <v>0</v>
      </c>
      <c r="N33" s="30">
        <v>-1136</v>
      </c>
    </row>
    <row r="34" spans="2:14" x14ac:dyDescent="0.3">
      <c r="B34" t="s">
        <v>21</v>
      </c>
      <c r="C34">
        <v>-7</v>
      </c>
      <c r="D34">
        <v>663</v>
      </c>
      <c r="E34">
        <v>-639</v>
      </c>
      <c r="F34">
        <v>-198</v>
      </c>
      <c r="G34">
        <v>318</v>
      </c>
      <c r="H34">
        <v>-59</v>
      </c>
      <c r="I34" s="30">
        <v>1658</v>
      </c>
      <c r="J34">
        <v>220</v>
      </c>
      <c r="K34">
        <v>85</v>
      </c>
      <c r="L34" s="30">
        <v>-1329</v>
      </c>
      <c r="M34" s="30">
        <v>2224</v>
      </c>
      <c r="N34" s="30">
        <v>-2958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35CBE-3317-475B-BBE9-FD8E9CC8FBB7}">
  <dimension ref="B2:N31"/>
  <sheetViews>
    <sheetView topLeftCell="A19" workbookViewId="0">
      <selection activeCell="O14" sqref="O14"/>
    </sheetView>
  </sheetViews>
  <sheetFormatPr defaultRowHeight="14.4" x14ac:dyDescent="0.3"/>
  <cols>
    <col min="2" max="2" width="27.6640625" customWidth="1"/>
  </cols>
  <sheetData>
    <row r="2" spans="2:14" x14ac:dyDescent="0.3">
      <c r="C2" s="29">
        <v>41699</v>
      </c>
      <c r="D2" s="29">
        <v>42064</v>
      </c>
      <c r="E2" s="29">
        <v>42430</v>
      </c>
      <c r="F2" s="29">
        <v>42795</v>
      </c>
      <c r="G2" s="29">
        <v>43160</v>
      </c>
      <c r="H2" s="29">
        <v>43525</v>
      </c>
      <c r="I2" s="29">
        <v>43891</v>
      </c>
      <c r="J2" s="29">
        <v>44256</v>
      </c>
      <c r="K2" s="29">
        <v>44621</v>
      </c>
      <c r="L2" s="29">
        <v>44986</v>
      </c>
      <c r="M2" s="29">
        <v>45352</v>
      </c>
      <c r="N2" s="29">
        <v>45717</v>
      </c>
    </row>
    <row r="3" spans="2:14" x14ac:dyDescent="0.3">
      <c r="B3" s="2" t="s">
        <v>85</v>
      </c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</row>
    <row r="4" spans="2:14" x14ac:dyDescent="0.3">
      <c r="B4" t="s">
        <v>86</v>
      </c>
      <c r="C4" s="30">
        <v>1839</v>
      </c>
      <c r="D4" s="30">
        <v>2077</v>
      </c>
      <c r="E4" s="30">
        <v>2577</v>
      </c>
      <c r="F4" s="30">
        <v>2809</v>
      </c>
      <c r="G4" s="30">
        <v>3081</v>
      </c>
      <c r="H4" s="30">
        <v>3644</v>
      </c>
      <c r="I4" s="30">
        <v>4116</v>
      </c>
      <c r="J4" s="30">
        <v>4699</v>
      </c>
      <c r="K4" s="30">
        <v>4868</v>
      </c>
      <c r="L4" s="30">
        <v>6089</v>
      </c>
      <c r="M4" s="30">
        <v>7406</v>
      </c>
      <c r="N4" s="30">
        <v>6077</v>
      </c>
    </row>
    <row r="5" spans="2:14" x14ac:dyDescent="0.3">
      <c r="B5" t="s">
        <v>43</v>
      </c>
      <c r="C5">
        <v>-157</v>
      </c>
      <c r="D5">
        <v>-91</v>
      </c>
      <c r="E5">
        <v>-35</v>
      </c>
      <c r="F5">
        <v>-241</v>
      </c>
      <c r="G5">
        <v>-150</v>
      </c>
      <c r="H5">
        <v>-114</v>
      </c>
      <c r="I5">
        <v>116</v>
      </c>
      <c r="J5">
        <v>-724</v>
      </c>
      <c r="K5" s="30">
        <v>-1142</v>
      </c>
      <c r="L5">
        <v>-582</v>
      </c>
      <c r="M5">
        <v>-267</v>
      </c>
      <c r="N5">
        <v>259</v>
      </c>
    </row>
    <row r="6" spans="2:14" x14ac:dyDescent="0.3">
      <c r="B6" t="s">
        <v>30</v>
      </c>
      <c r="C6">
        <v>-184</v>
      </c>
      <c r="D6">
        <v>-131</v>
      </c>
      <c r="E6">
        <v>192</v>
      </c>
      <c r="F6">
        <v>-584</v>
      </c>
      <c r="G6">
        <v>16</v>
      </c>
      <c r="H6">
        <v>-407</v>
      </c>
      <c r="I6">
        <v>-242</v>
      </c>
      <c r="J6">
        <v>-297</v>
      </c>
      <c r="K6" s="30">
        <v>-2153</v>
      </c>
      <c r="L6">
        <v>-44</v>
      </c>
      <c r="M6">
        <v>264</v>
      </c>
      <c r="N6">
        <v>-693</v>
      </c>
    </row>
    <row r="7" spans="2:14" x14ac:dyDescent="0.3">
      <c r="B7" t="s">
        <v>87</v>
      </c>
      <c r="C7">
        <v>359</v>
      </c>
      <c r="D7">
        <v>-166</v>
      </c>
      <c r="E7">
        <v>98</v>
      </c>
      <c r="F7">
        <v>464</v>
      </c>
      <c r="G7">
        <v>365</v>
      </c>
      <c r="H7">
        <v>174</v>
      </c>
      <c r="I7">
        <v>-368</v>
      </c>
      <c r="J7">
        <v>961</v>
      </c>
      <c r="K7">
        <v>593</v>
      </c>
      <c r="L7">
        <v>-442</v>
      </c>
      <c r="M7">
        <v>272</v>
      </c>
      <c r="N7">
        <v>-318</v>
      </c>
    </row>
    <row r="8" spans="2:14" x14ac:dyDescent="0.3">
      <c r="B8" t="s">
        <v>88</v>
      </c>
      <c r="C8">
        <v>-37</v>
      </c>
      <c r="D8">
        <v>32</v>
      </c>
      <c r="E8">
        <v>-99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2:14" x14ac:dyDescent="0.3">
      <c r="B9" t="s">
        <v>89</v>
      </c>
      <c r="C9">
        <v>-4</v>
      </c>
      <c r="D9">
        <v>12</v>
      </c>
      <c r="E9">
        <v>7</v>
      </c>
      <c r="F9">
        <v>-185</v>
      </c>
      <c r="G9">
        <v>-191</v>
      </c>
      <c r="H9">
        <v>13</v>
      </c>
      <c r="I9">
        <v>125</v>
      </c>
      <c r="J9">
        <v>-164</v>
      </c>
      <c r="K9">
        <v>202</v>
      </c>
      <c r="L9">
        <v>615</v>
      </c>
      <c r="M9">
        <v>-185</v>
      </c>
      <c r="N9">
        <v>147</v>
      </c>
    </row>
    <row r="10" spans="2:14" x14ac:dyDescent="0.3">
      <c r="B10" t="s">
        <v>90</v>
      </c>
      <c r="C10">
        <v>-24</v>
      </c>
      <c r="D10">
        <v>-344</v>
      </c>
      <c r="E10">
        <v>164</v>
      </c>
      <c r="F10">
        <v>-546</v>
      </c>
      <c r="G10">
        <v>40</v>
      </c>
      <c r="H10">
        <v>-335</v>
      </c>
      <c r="I10">
        <v>-370</v>
      </c>
      <c r="J10">
        <v>-225</v>
      </c>
      <c r="K10" s="30">
        <v>-2499</v>
      </c>
      <c r="L10">
        <v>-453</v>
      </c>
      <c r="M10">
        <v>83</v>
      </c>
      <c r="N10">
        <v>-604</v>
      </c>
    </row>
    <row r="11" spans="2:14" x14ac:dyDescent="0.3">
      <c r="B11" t="s">
        <v>91</v>
      </c>
      <c r="C11">
        <v>-444</v>
      </c>
      <c r="D11">
        <v>-589</v>
      </c>
      <c r="E11">
        <v>-761</v>
      </c>
      <c r="F11">
        <v>-843</v>
      </c>
      <c r="G11">
        <v>-986</v>
      </c>
      <c r="H11">
        <v>-914</v>
      </c>
      <c r="I11">
        <v>-933</v>
      </c>
      <c r="J11" s="30">
        <v>-1015</v>
      </c>
      <c r="K11" s="30">
        <v>-1109</v>
      </c>
      <c r="L11" s="30">
        <v>-1415</v>
      </c>
      <c r="M11" s="30">
        <v>-1732</v>
      </c>
      <c r="N11" s="30">
        <v>-1306</v>
      </c>
    </row>
    <row r="12" spans="2:14" x14ac:dyDescent="0.3">
      <c r="B12" s="2" t="s">
        <v>92</v>
      </c>
      <c r="G12" s="30"/>
      <c r="L12" s="30"/>
      <c r="M12" s="30"/>
    </row>
    <row r="13" spans="2:14" x14ac:dyDescent="0.3">
      <c r="B13" t="s">
        <v>93</v>
      </c>
      <c r="C13">
        <v>-163</v>
      </c>
      <c r="D13">
        <v>-336</v>
      </c>
      <c r="E13">
        <v>-687</v>
      </c>
      <c r="F13">
        <v>-611</v>
      </c>
      <c r="G13" s="30">
        <v>-1358</v>
      </c>
      <c r="H13" s="30">
        <v>-1067</v>
      </c>
      <c r="I13">
        <v>-306</v>
      </c>
      <c r="J13">
        <v>-218</v>
      </c>
      <c r="K13">
        <v>-415</v>
      </c>
      <c r="L13" s="30">
        <v>-1224</v>
      </c>
      <c r="M13" s="30">
        <v>-2190</v>
      </c>
      <c r="N13" s="30">
        <v>-1067</v>
      </c>
    </row>
    <row r="14" spans="2:14" x14ac:dyDescent="0.3">
      <c r="B14" t="s">
        <v>94</v>
      </c>
      <c r="C14">
        <v>5</v>
      </c>
      <c r="D14">
        <v>1</v>
      </c>
      <c r="E14">
        <v>12</v>
      </c>
      <c r="F14">
        <v>2</v>
      </c>
      <c r="G14">
        <v>9</v>
      </c>
      <c r="H14">
        <v>15</v>
      </c>
      <c r="I14">
        <v>26</v>
      </c>
      <c r="J14">
        <v>26</v>
      </c>
      <c r="K14">
        <v>27</v>
      </c>
      <c r="L14">
        <v>16</v>
      </c>
      <c r="M14">
        <v>5</v>
      </c>
      <c r="N14">
        <v>8</v>
      </c>
    </row>
    <row r="15" spans="2:14" x14ac:dyDescent="0.3">
      <c r="B15" t="s">
        <v>95</v>
      </c>
      <c r="C15" s="30">
        <v>-1016</v>
      </c>
      <c r="D15">
        <v>-243</v>
      </c>
      <c r="E15">
        <v>-282</v>
      </c>
      <c r="F15">
        <v>-70</v>
      </c>
      <c r="G15">
        <v>-153</v>
      </c>
      <c r="H15">
        <v>-325</v>
      </c>
      <c r="I15">
        <v>-25</v>
      </c>
      <c r="J15">
        <v>-140</v>
      </c>
      <c r="K15">
        <v>0</v>
      </c>
      <c r="L15">
        <v>-146</v>
      </c>
      <c r="M15">
        <v>-212</v>
      </c>
      <c r="N15">
        <v>0</v>
      </c>
    </row>
    <row r="16" spans="2:14" x14ac:dyDescent="0.3">
      <c r="B16" t="s">
        <v>96</v>
      </c>
      <c r="C16">
        <v>461</v>
      </c>
      <c r="D16">
        <v>246</v>
      </c>
      <c r="E16">
        <v>233</v>
      </c>
      <c r="F16">
        <v>224</v>
      </c>
      <c r="G16">
        <v>196</v>
      </c>
      <c r="H16">
        <v>485</v>
      </c>
      <c r="I16">
        <v>117</v>
      </c>
      <c r="J16">
        <v>272</v>
      </c>
      <c r="K16">
        <v>207</v>
      </c>
      <c r="L16">
        <v>444</v>
      </c>
      <c r="M16">
        <v>273</v>
      </c>
      <c r="N16">
        <v>384</v>
      </c>
    </row>
    <row r="17" spans="2:14" x14ac:dyDescent="0.3">
      <c r="B17" t="s">
        <v>97</v>
      </c>
      <c r="C17">
        <v>5</v>
      </c>
      <c r="D17">
        <v>5</v>
      </c>
      <c r="E17">
        <v>5</v>
      </c>
      <c r="F17">
        <v>14</v>
      </c>
      <c r="G17">
        <v>20</v>
      </c>
      <c r="H17">
        <v>33</v>
      </c>
      <c r="I17">
        <v>41</v>
      </c>
      <c r="J17">
        <v>47</v>
      </c>
      <c r="K17">
        <v>56</v>
      </c>
      <c r="L17">
        <v>61</v>
      </c>
      <c r="M17">
        <v>106</v>
      </c>
      <c r="N17">
        <v>128</v>
      </c>
    </row>
    <row r="18" spans="2:14" x14ac:dyDescent="0.3">
      <c r="B18" t="s">
        <v>98</v>
      </c>
      <c r="C18">
        <v>91</v>
      </c>
      <c r="D18">
        <v>71</v>
      </c>
      <c r="E18">
        <v>70</v>
      </c>
      <c r="F18">
        <v>77</v>
      </c>
      <c r="G18">
        <v>43</v>
      </c>
      <c r="H18">
        <v>46</v>
      </c>
      <c r="I18">
        <v>35</v>
      </c>
      <c r="J18">
        <v>16</v>
      </c>
      <c r="K18">
        <v>15</v>
      </c>
      <c r="L18">
        <v>68</v>
      </c>
      <c r="M18">
        <v>157</v>
      </c>
      <c r="N18">
        <v>140</v>
      </c>
    </row>
    <row r="19" spans="2:14" x14ac:dyDescent="0.3">
      <c r="B19" t="s">
        <v>99</v>
      </c>
      <c r="C19">
        <v>0</v>
      </c>
      <c r="D19">
        <v>0</v>
      </c>
      <c r="E19">
        <v>-143</v>
      </c>
      <c r="F19">
        <v>0</v>
      </c>
      <c r="G19">
        <v>-212</v>
      </c>
      <c r="H19">
        <v>0</v>
      </c>
      <c r="I19">
        <v>-380</v>
      </c>
      <c r="J19">
        <v>0</v>
      </c>
      <c r="K19">
        <v>0</v>
      </c>
      <c r="L19">
        <v>-398</v>
      </c>
      <c r="M19">
        <v>-263</v>
      </c>
      <c r="N19">
        <v>-698</v>
      </c>
    </row>
    <row r="20" spans="2:14" x14ac:dyDescent="0.3">
      <c r="B20" t="s">
        <v>100</v>
      </c>
      <c r="C20">
        <v>0</v>
      </c>
      <c r="D20">
        <v>0</v>
      </c>
      <c r="E20">
        <v>0</v>
      </c>
      <c r="F20">
        <v>0</v>
      </c>
      <c r="G20">
        <v>0</v>
      </c>
      <c r="H20">
        <v>-2</v>
      </c>
      <c r="I20">
        <v>-6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2:14" x14ac:dyDescent="0.3">
      <c r="B21" t="s">
        <v>103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-80</v>
      </c>
      <c r="L21">
        <v>0</v>
      </c>
      <c r="M21">
        <v>0</v>
      </c>
      <c r="N21">
        <v>0</v>
      </c>
    </row>
    <row r="22" spans="2:14" x14ac:dyDescent="0.3">
      <c r="B22" t="s">
        <v>105</v>
      </c>
      <c r="C22">
        <v>0</v>
      </c>
      <c r="D22">
        <v>-36</v>
      </c>
      <c r="E22">
        <v>-70</v>
      </c>
      <c r="F22">
        <v>-219</v>
      </c>
      <c r="G22">
        <v>85</v>
      </c>
      <c r="H22">
        <v>-18</v>
      </c>
      <c r="I22">
        <v>-276</v>
      </c>
      <c r="J22">
        <v>-439</v>
      </c>
      <c r="K22">
        <v>-151</v>
      </c>
      <c r="L22">
        <v>-219</v>
      </c>
      <c r="M22">
        <v>-146</v>
      </c>
      <c r="N22">
        <v>273</v>
      </c>
    </row>
    <row r="23" spans="2:14" x14ac:dyDescent="0.3">
      <c r="B23" s="2" t="s">
        <v>106</v>
      </c>
      <c r="G23" s="30"/>
      <c r="H23" s="30"/>
      <c r="I23" s="30"/>
      <c r="K23" s="30"/>
      <c r="L23" s="30"/>
      <c r="M23" s="30"/>
      <c r="N23" s="30"/>
    </row>
    <row r="24" spans="2:14" x14ac:dyDescent="0.3">
      <c r="B24" t="s">
        <v>107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1</v>
      </c>
      <c r="N24">
        <v>0</v>
      </c>
    </row>
    <row r="25" spans="2:14" x14ac:dyDescent="0.3">
      <c r="B25" t="s">
        <v>108</v>
      </c>
      <c r="C25">
        <v>1</v>
      </c>
      <c r="D25">
        <v>20</v>
      </c>
      <c r="E25">
        <v>6</v>
      </c>
      <c r="F25">
        <v>8</v>
      </c>
      <c r="G25">
        <v>0</v>
      </c>
      <c r="H25">
        <v>154</v>
      </c>
      <c r="I25">
        <v>18</v>
      </c>
      <c r="J25">
        <v>117</v>
      </c>
      <c r="K25">
        <v>86</v>
      </c>
      <c r="L25">
        <v>74</v>
      </c>
      <c r="M25">
        <v>39</v>
      </c>
      <c r="N25">
        <v>195</v>
      </c>
    </row>
    <row r="26" spans="2:14" x14ac:dyDescent="0.3">
      <c r="B26" t="s">
        <v>109</v>
      </c>
      <c r="C26">
        <v>-8</v>
      </c>
      <c r="D26">
        <v>-48</v>
      </c>
      <c r="E26">
        <v>-7</v>
      </c>
      <c r="F26">
        <v>-41</v>
      </c>
      <c r="G26">
        <v>-2</v>
      </c>
      <c r="H26">
        <v>-1</v>
      </c>
      <c r="I26">
        <v>0</v>
      </c>
      <c r="J26">
        <v>-6</v>
      </c>
      <c r="K26">
        <v>-8</v>
      </c>
      <c r="L26">
        <v>-9</v>
      </c>
      <c r="M26">
        <v>-84</v>
      </c>
      <c r="N26">
        <v>-57</v>
      </c>
    </row>
    <row r="27" spans="2:14" x14ac:dyDescent="0.3">
      <c r="B27" t="s">
        <v>110</v>
      </c>
      <c r="C27">
        <v>-25</v>
      </c>
      <c r="D27">
        <v>-27</v>
      </c>
      <c r="E27">
        <v>-20</v>
      </c>
      <c r="F27">
        <v>-23</v>
      </c>
      <c r="G27">
        <v>-20</v>
      </c>
      <c r="H27">
        <v>-74</v>
      </c>
      <c r="I27">
        <v>-77</v>
      </c>
      <c r="J27">
        <v>-69</v>
      </c>
      <c r="K27">
        <v>-68</v>
      </c>
      <c r="L27">
        <v>-92</v>
      </c>
      <c r="M27">
        <v>-120</v>
      </c>
      <c r="N27">
        <v>-142</v>
      </c>
    </row>
    <row r="28" spans="2:14" x14ac:dyDescent="0.3">
      <c r="B28" t="s">
        <v>111</v>
      </c>
      <c r="C28">
        <v>-528</v>
      </c>
      <c r="D28">
        <v>-673</v>
      </c>
      <c r="E28">
        <v>-749</v>
      </c>
      <c r="F28">
        <v>-914</v>
      </c>
      <c r="G28" s="30">
        <v>-1185</v>
      </c>
      <c r="H28" s="30">
        <v>-1022</v>
      </c>
      <c r="I28" s="30">
        <v>-2090</v>
      </c>
      <c r="J28">
        <v>-466</v>
      </c>
      <c r="K28" s="30">
        <v>-1741</v>
      </c>
      <c r="L28" s="30">
        <v>-1909</v>
      </c>
      <c r="M28" s="30">
        <v>-2532</v>
      </c>
      <c r="N28" s="30">
        <v>-3108</v>
      </c>
    </row>
    <row r="29" spans="2:14" x14ac:dyDescent="0.3">
      <c r="B29" t="s">
        <v>112</v>
      </c>
      <c r="C29">
        <v>0</v>
      </c>
      <c r="D29">
        <v>0</v>
      </c>
      <c r="E29">
        <v>0</v>
      </c>
      <c r="F29">
        <v>0</v>
      </c>
      <c r="G29">
        <v>0</v>
      </c>
      <c r="H29">
        <v>-145</v>
      </c>
      <c r="I29">
        <v>-149</v>
      </c>
      <c r="J29">
        <v>-159</v>
      </c>
      <c r="K29">
        <v>-183</v>
      </c>
      <c r="L29">
        <v>-214</v>
      </c>
      <c r="M29">
        <v>-251</v>
      </c>
      <c r="N29">
        <v>-267</v>
      </c>
    </row>
    <row r="30" spans="2:14" x14ac:dyDescent="0.3">
      <c r="B30" t="s">
        <v>113</v>
      </c>
      <c r="C30">
        <v>0</v>
      </c>
      <c r="D30">
        <v>0</v>
      </c>
      <c r="E30">
        <v>66</v>
      </c>
      <c r="F30">
        <v>13</v>
      </c>
      <c r="G30">
        <v>-32</v>
      </c>
      <c r="H30">
        <v>0</v>
      </c>
      <c r="I30">
        <v>-203</v>
      </c>
      <c r="J30">
        <v>0</v>
      </c>
      <c r="K30">
        <v>-75</v>
      </c>
      <c r="L30">
        <v>-36</v>
      </c>
      <c r="M30">
        <v>0</v>
      </c>
      <c r="N30">
        <v>-37</v>
      </c>
    </row>
    <row r="31" spans="2:14" x14ac:dyDescent="0.3">
      <c r="B31" t="s">
        <v>21</v>
      </c>
      <c r="C31">
        <v>194</v>
      </c>
      <c r="D31">
        <v>124</v>
      </c>
      <c r="E31">
        <v>413</v>
      </c>
      <c r="F31">
        <v>-120</v>
      </c>
      <c r="G31">
        <v>-474</v>
      </c>
      <c r="H31">
        <v>473</v>
      </c>
      <c r="I31">
        <v>-462</v>
      </c>
      <c r="J31" s="30">
        <v>2440</v>
      </c>
      <c r="K31" s="30">
        <v>-1069</v>
      </c>
      <c r="L31">
        <v>640</v>
      </c>
      <c r="M31">
        <v>540</v>
      </c>
      <c r="N31">
        <v>-82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Financials</vt:lpstr>
      <vt:lpstr>Ratio analysis</vt:lpstr>
      <vt:lpstr>Forecasting</vt:lpstr>
      <vt:lpstr>Common Size Statement</vt:lpstr>
      <vt:lpstr>Intrinsic Growth</vt:lpstr>
      <vt:lpstr>DCF</vt:lpstr>
      <vt:lpstr>Historical FS</vt:lpstr>
      <vt:lpstr>Data &gt;</vt:lpstr>
      <vt:lpstr>Data Sheet</vt:lpstr>
      <vt:lpstr>Data Room &gt;</vt:lpstr>
      <vt:lpstr>Cashflow Data</vt:lpstr>
      <vt:lpstr>Raw FS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aditya raj singh</cp:lastModifiedBy>
  <cp:lastPrinted>2012-12-06T18:14:13Z</cp:lastPrinted>
  <dcterms:created xsi:type="dcterms:W3CDTF">2012-08-17T09:55:37Z</dcterms:created>
  <dcterms:modified xsi:type="dcterms:W3CDTF">2025-09-02T14:59:05Z</dcterms:modified>
</cp:coreProperties>
</file>