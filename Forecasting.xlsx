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1C647267-3148-4386-9732-0790576F92C1}" xr6:coauthVersionLast="47" xr6:coauthVersionMax="47" xr10:uidLastSave="{00000000-0000-0000-0000-000000000000}"/>
  <bookViews>
    <workbookView xWindow="3000" yWindow="328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E17" i="1"/>
  <c r="E18" i="1"/>
  <c r="E19" i="1"/>
  <c r="D16" i="1"/>
  <c r="D17" i="1"/>
  <c r="D18" i="1"/>
  <c r="D19" i="1"/>
  <c r="E16" i="1" l="1"/>
  <c r="E5" i="1" l="1"/>
  <c r="E6" i="1"/>
  <c r="E7" i="1"/>
  <c r="E8" i="1"/>
  <c r="E9" i="1"/>
  <c r="E10" i="1"/>
  <c r="E11" i="1"/>
  <c r="E12" i="1"/>
  <c r="E13" i="1"/>
  <c r="E14" i="1"/>
  <c r="E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</calcChain>
</file>

<file path=xl/sharedStrings.xml><?xml version="1.0" encoding="utf-8"?>
<sst xmlns="http://schemas.openxmlformats.org/spreadsheetml/2006/main" count="31" uniqueCount="29">
  <si>
    <t>Tata Motors</t>
  </si>
  <si>
    <t>Year Weight</t>
  </si>
  <si>
    <t>Year</t>
  </si>
  <si>
    <t>Sales</t>
  </si>
  <si>
    <t>Sales 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</si>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</sst>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\E"/>
    <numFmt numFmtId="166" formatCode="0\A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Linear Regression</a:t>
            </a:r>
          </a:p>
        </c:rich>
      </c:tx>
      <c:layout>
        <c:manualLayout>
          <c:xMode val="edge"/>
          <c:yMode val="edge"/>
          <c:x val="0.4094930008748907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tx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Sheet1!$C$3:$C$14</c:f>
              <c:numCache>
                <c:formatCode>0\A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xVal>
          <c:yVal>
            <c:numRef>
              <c:f>Sheet1!$D$3:$D$14</c:f>
              <c:numCache>
                <c:formatCode>#,##0.0</c:formatCode>
                <c:ptCount val="12"/>
                <c:pt idx="0">
                  <c:v>232834</c:v>
                </c:pt>
                <c:pt idx="1">
                  <c:v>263159</c:v>
                </c:pt>
                <c:pt idx="2">
                  <c:v>273046</c:v>
                </c:pt>
                <c:pt idx="3">
                  <c:v>269693</c:v>
                </c:pt>
                <c:pt idx="4">
                  <c:v>291550</c:v>
                </c:pt>
                <c:pt idx="5">
                  <c:v>301938</c:v>
                </c:pt>
                <c:pt idx="6">
                  <c:v>261068</c:v>
                </c:pt>
                <c:pt idx="7">
                  <c:v>249795</c:v>
                </c:pt>
                <c:pt idx="8">
                  <c:v>278454</c:v>
                </c:pt>
                <c:pt idx="9">
                  <c:v>345967</c:v>
                </c:pt>
                <c:pt idx="10">
                  <c:v>434016</c:v>
                </c:pt>
                <c:pt idx="11">
                  <c:v>439695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DA-45A2-B84F-4348BC69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752399"/>
        <c:axId val="1995290271"/>
      </c:scatterChart>
      <c:valAx>
        <c:axId val="18857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290271"/>
        <c:crosses val="autoZero"/>
        <c:crossBetween val="midCat"/>
      </c:valAx>
      <c:valAx>
        <c:axId val="199529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57150</xdr:rowOff>
    </xdr:from>
    <xdr:to>
      <xdr:col>10</xdr:col>
      <xdr:colOff>601980</xdr:colOff>
      <xdr:row>13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C4AE29-D395-B645-00E5-DFD92DE23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2"/>
  <sheetViews>
    <sheetView tabSelected="1" workbookViewId="0">
      <selection activeCell="F11" sqref="F11"/>
    </sheetView>
  </sheetViews>
  <sheetFormatPr defaultRowHeight="14.4" x14ac:dyDescent="0.3"/>
  <cols>
    <col min="1" max="1" width="1.88671875" customWidth="1"/>
    <col min="2" max="2" width="18.21875" customWidth="1"/>
    <col min="5" max="5" width="14.21875" customWidth="1"/>
    <col min="9" max="9" width="14" customWidth="1"/>
    <col min="10" max="10" width="15.109375" customWidth="1"/>
    <col min="12" max="12" width="14" customWidth="1"/>
  </cols>
  <sheetData>
    <row r="1" spans="2:7" x14ac:dyDescent="0.3">
      <c r="B1" s="12" t="s">
        <v>0</v>
      </c>
      <c r="C1" s="12"/>
      <c r="D1" s="12"/>
      <c r="E1" s="12"/>
    </row>
    <row r="2" spans="2:7" x14ac:dyDescent="0.3">
      <c r="B2" s="4" t="s">
        <v>1</v>
      </c>
      <c r="C2" s="5" t="s">
        <v>2</v>
      </c>
      <c r="D2" s="5" t="s">
        <v>3</v>
      </c>
      <c r="E2" s="5" t="s">
        <v>4</v>
      </c>
    </row>
    <row r="3" spans="2:7" x14ac:dyDescent="0.3">
      <c r="B3">
        <f>1</f>
        <v>1</v>
      </c>
      <c r="C3" s="8">
        <f>2014</f>
        <v>2014</v>
      </c>
      <c r="D3" s="6">
        <v>232834</v>
      </c>
      <c r="E3" s="2"/>
    </row>
    <row r="4" spans="2:7" x14ac:dyDescent="0.3">
      <c r="B4">
        <f>B3+1</f>
        <v>2</v>
      </c>
      <c r="C4" s="8">
        <f>C3+1</f>
        <v>2015</v>
      </c>
      <c r="D4" s="6">
        <v>263159</v>
      </c>
      <c r="E4" s="3">
        <f>(D4-D3)/D3</f>
        <v>0.1302430057465834</v>
      </c>
    </row>
    <row r="5" spans="2:7" x14ac:dyDescent="0.3">
      <c r="B5">
        <f t="shared" ref="B5:B18" si="0">B4+1</f>
        <v>3</v>
      </c>
      <c r="C5" s="8">
        <f t="shared" ref="C5:C18" si="1">C4+1</f>
        <v>2016</v>
      </c>
      <c r="D5" s="6">
        <v>273046</v>
      </c>
      <c r="E5" s="3">
        <f t="shared" ref="E5:E19" si="2">(D5-D4)/D4</f>
        <v>3.757044220414274E-2</v>
      </c>
    </row>
    <row r="6" spans="2:7" x14ac:dyDescent="0.3">
      <c r="B6">
        <f t="shared" si="0"/>
        <v>4</v>
      </c>
      <c r="C6" s="8">
        <f t="shared" si="1"/>
        <v>2017</v>
      </c>
      <c r="D6" s="6">
        <v>269693</v>
      </c>
      <c r="E6" s="3">
        <f t="shared" si="2"/>
        <v>-1.22799821275536E-2</v>
      </c>
    </row>
    <row r="7" spans="2:7" x14ac:dyDescent="0.3">
      <c r="B7">
        <f t="shared" si="0"/>
        <v>5</v>
      </c>
      <c r="C7" s="8">
        <f t="shared" si="1"/>
        <v>2018</v>
      </c>
      <c r="D7" s="6">
        <v>291550</v>
      </c>
      <c r="E7" s="3">
        <f t="shared" si="2"/>
        <v>8.1044001883623235E-2</v>
      </c>
    </row>
    <row r="8" spans="2:7" x14ac:dyDescent="0.3">
      <c r="B8">
        <f t="shared" si="0"/>
        <v>6</v>
      </c>
      <c r="C8" s="8">
        <f t="shared" si="1"/>
        <v>2019</v>
      </c>
      <c r="D8" s="6">
        <v>301938</v>
      </c>
      <c r="E8" s="3">
        <f t="shared" si="2"/>
        <v>3.5630252100840337E-2</v>
      </c>
    </row>
    <row r="9" spans="2:7" x14ac:dyDescent="0.3">
      <c r="B9">
        <f t="shared" si="0"/>
        <v>7</v>
      </c>
      <c r="C9" s="8">
        <f t="shared" si="1"/>
        <v>2020</v>
      </c>
      <c r="D9" s="6">
        <v>261068</v>
      </c>
      <c r="E9" s="3">
        <f t="shared" si="2"/>
        <v>-0.13535891474408654</v>
      </c>
    </row>
    <row r="10" spans="2:7" x14ac:dyDescent="0.3">
      <c r="B10">
        <f t="shared" si="0"/>
        <v>8</v>
      </c>
      <c r="C10" s="8">
        <f t="shared" si="1"/>
        <v>2021</v>
      </c>
      <c r="D10" s="6">
        <v>249795</v>
      </c>
      <c r="E10" s="3">
        <f t="shared" si="2"/>
        <v>-4.3180320835950789E-2</v>
      </c>
    </row>
    <row r="11" spans="2:7" x14ac:dyDescent="0.3">
      <c r="B11">
        <f t="shared" si="0"/>
        <v>9</v>
      </c>
      <c r="C11" s="8">
        <f t="shared" si="1"/>
        <v>2022</v>
      </c>
      <c r="D11" s="6">
        <v>278454</v>
      </c>
      <c r="E11" s="3">
        <f t="shared" si="2"/>
        <v>0.11473007866450489</v>
      </c>
    </row>
    <row r="12" spans="2:7" x14ac:dyDescent="0.3">
      <c r="B12">
        <f t="shared" si="0"/>
        <v>10</v>
      </c>
      <c r="C12" s="8">
        <f t="shared" si="1"/>
        <v>2023</v>
      </c>
      <c r="D12" s="6">
        <v>345967</v>
      </c>
      <c r="E12" s="3">
        <f t="shared" si="2"/>
        <v>0.24245656374122834</v>
      </c>
    </row>
    <row r="13" spans="2:7" x14ac:dyDescent="0.3">
      <c r="B13">
        <f t="shared" si="0"/>
        <v>11</v>
      </c>
      <c r="C13" s="8">
        <f t="shared" si="1"/>
        <v>2024</v>
      </c>
      <c r="D13" s="6">
        <v>434016</v>
      </c>
      <c r="E13" s="3">
        <f t="shared" si="2"/>
        <v>0.25450115184396199</v>
      </c>
    </row>
    <row r="14" spans="2:7" x14ac:dyDescent="0.3">
      <c r="B14">
        <f t="shared" si="0"/>
        <v>12</v>
      </c>
      <c r="C14" s="8">
        <f t="shared" si="1"/>
        <v>2025</v>
      </c>
      <c r="D14" s="6">
        <v>439695</v>
      </c>
      <c r="E14" s="3">
        <f t="shared" si="2"/>
        <v>1.3084771068347711E-2</v>
      </c>
    </row>
    <row r="15" spans="2:7" x14ac:dyDescent="0.3">
      <c r="B15">
        <f t="shared" si="0"/>
        <v>13</v>
      </c>
      <c r="C15" s="7">
        <f t="shared" si="1"/>
        <v>2026</v>
      </c>
      <c r="D15" s="1">
        <f>_xlfn.FORECAST.LINEAR(B15,$D$3:$D$14,$B$3:$B$14)</f>
        <v>398918.6969696969</v>
      </c>
      <c r="E15" s="3">
        <f t="shared" si="2"/>
        <v>-9.2737700065506995E-2</v>
      </c>
      <c r="G15" t="s">
        <v>5</v>
      </c>
    </row>
    <row r="16" spans="2:7" ht="15" thickBot="1" x14ac:dyDescent="0.35">
      <c r="B16">
        <f t="shared" si="0"/>
        <v>14</v>
      </c>
      <c r="C16" s="7">
        <f t="shared" si="1"/>
        <v>2027</v>
      </c>
      <c r="D16" s="1">
        <f t="shared" ref="D16:D19" si="3">_xlfn.FORECAST.LINEAR(B16,$D$3:$D$14,$B$3:$B$14)</f>
        <v>413608.56060606055</v>
      </c>
      <c r="E16" s="3">
        <f t="shared" si="2"/>
        <v>3.6824204400425817E-2</v>
      </c>
    </row>
    <row r="17" spans="2:15" x14ac:dyDescent="0.3">
      <c r="B17">
        <f t="shared" si="0"/>
        <v>15</v>
      </c>
      <c r="C17" s="7">
        <f t="shared" si="1"/>
        <v>2028</v>
      </c>
      <c r="D17" s="1">
        <f t="shared" si="3"/>
        <v>428298.4242424242</v>
      </c>
      <c r="E17" s="3">
        <f t="shared" si="2"/>
        <v>3.5516343314651401E-2</v>
      </c>
      <c r="G17" s="11" t="s">
        <v>6</v>
      </c>
      <c r="H17" s="11"/>
    </row>
    <row r="18" spans="2:15" x14ac:dyDescent="0.3">
      <c r="B18">
        <f t="shared" si="0"/>
        <v>16</v>
      </c>
      <c r="C18" s="7">
        <f t="shared" si="1"/>
        <v>2029</v>
      </c>
      <c r="D18" s="1">
        <f t="shared" si="3"/>
        <v>442988.28787878784</v>
      </c>
      <c r="E18" s="3">
        <f t="shared" si="2"/>
        <v>3.4298196782645493E-2</v>
      </c>
      <c r="G18" t="s">
        <v>7</v>
      </c>
      <c r="H18">
        <v>0.77380615660094521</v>
      </c>
    </row>
    <row r="19" spans="2:15" x14ac:dyDescent="0.3">
      <c r="B19">
        <f t="shared" ref="B19" si="4">B18+1</f>
        <v>17</v>
      </c>
      <c r="C19" s="7">
        <f t="shared" ref="C19" si="5">C18+1</f>
        <v>2030</v>
      </c>
      <c r="D19" s="1">
        <f t="shared" si="3"/>
        <v>457678.15151515149</v>
      </c>
      <c r="E19" s="3">
        <f t="shared" si="2"/>
        <v>3.3160839774579197E-2</v>
      </c>
      <c r="G19" t="s">
        <v>8</v>
      </c>
      <c r="H19">
        <v>0.5987759679935265</v>
      </c>
    </row>
    <row r="20" spans="2:15" x14ac:dyDescent="0.3">
      <c r="G20" t="s">
        <v>9</v>
      </c>
      <c r="H20">
        <v>0.55865356479287909</v>
      </c>
    </row>
    <row r="21" spans="2:15" x14ac:dyDescent="0.3">
      <c r="G21" t="s">
        <v>10</v>
      </c>
      <c r="H21">
        <v>45472.31568356463</v>
      </c>
    </row>
    <row r="22" spans="2:15" ht="15" thickBot="1" x14ac:dyDescent="0.35">
      <c r="G22" s="9" t="s">
        <v>11</v>
      </c>
      <c r="H22" s="9">
        <v>12</v>
      </c>
    </row>
    <row r="24" spans="2:15" ht="15" thickBot="1" x14ac:dyDescent="0.35">
      <c r="G24" t="s">
        <v>12</v>
      </c>
    </row>
    <row r="25" spans="2:15" x14ac:dyDescent="0.3">
      <c r="G25" s="10"/>
      <c r="H25" s="10" t="s">
        <v>17</v>
      </c>
      <c r="I25" s="10" t="s">
        <v>18</v>
      </c>
      <c r="J25" s="10" t="s">
        <v>19</v>
      </c>
      <c r="K25" s="10" t="s">
        <v>20</v>
      </c>
      <c r="L25" s="10" t="s">
        <v>21</v>
      </c>
    </row>
    <row r="26" spans="2:15" x14ac:dyDescent="0.3">
      <c r="G26" t="s">
        <v>13</v>
      </c>
      <c r="H26">
        <v>1</v>
      </c>
      <c r="I26">
        <v>30858269392.659088</v>
      </c>
      <c r="J26">
        <v>30858269392.659088</v>
      </c>
      <c r="K26">
        <v>14.923731387651911</v>
      </c>
      <c r="L26">
        <v>3.144194766831252E-3</v>
      </c>
    </row>
    <row r="27" spans="2:15" x14ac:dyDescent="0.3">
      <c r="G27" t="s">
        <v>14</v>
      </c>
      <c r="H27">
        <v>10</v>
      </c>
      <c r="I27">
        <v>20677314936.257576</v>
      </c>
      <c r="J27">
        <v>2067731493.6257577</v>
      </c>
    </row>
    <row r="28" spans="2:15" ht="15" thickBot="1" x14ac:dyDescent="0.35">
      <c r="G28" s="9" t="s">
        <v>15</v>
      </c>
      <c r="H28" s="9">
        <v>11</v>
      </c>
      <c r="I28" s="9">
        <v>51535584328.916664</v>
      </c>
      <c r="J28" s="9"/>
      <c r="K28" s="9"/>
      <c r="L28" s="9"/>
    </row>
    <row r="30" spans="2:15" x14ac:dyDescent="0.3">
      <c r="H30" t="s">
        <v>22</v>
      </c>
      <c r="I30" t="s">
        <v>10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</row>
    <row r="31" spans="2:15" x14ac:dyDescent="0.3">
      <c r="G31" t="s">
        <v>16</v>
      </c>
      <c r="H31">
        <v>207950.4696969697</v>
      </c>
      <c r="I31">
        <v>27986.275678864327</v>
      </c>
      <c r="J31">
        <v>7.4304445537216353</v>
      </c>
      <c r="K31">
        <v>2.2349423929224751E-5</v>
      </c>
      <c r="L31">
        <v>145593.16153449356</v>
      </c>
      <c r="M31">
        <v>270307.77785944584</v>
      </c>
      <c r="N31">
        <v>145593.16153449356</v>
      </c>
      <c r="O31">
        <v>270307.77785944584</v>
      </c>
    </row>
    <row r="32" spans="2:15" x14ac:dyDescent="0.3">
      <c r="G32" t="s">
        <v>1</v>
      </c>
      <c r="H32">
        <v>14689.863636363632</v>
      </c>
      <c r="I32">
        <v>3802.5860666901044</v>
      </c>
      <c r="J32">
        <v>3.8631245627926498</v>
      </c>
      <c r="K32">
        <v>3.1441947668312607E-3</v>
      </c>
      <c r="L32">
        <v>6217.1738831497405</v>
      </c>
      <c r="M32">
        <v>23162.553389577522</v>
      </c>
      <c r="N32">
        <v>6217.1738831497405</v>
      </c>
      <c r="O32">
        <v>23162.553389577522</v>
      </c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cp:lastPrinted>2025-08-20T12:14:02Z</cp:lastPrinted>
  <dcterms:created xsi:type="dcterms:W3CDTF">2015-06-05T18:17:20Z</dcterms:created>
  <dcterms:modified xsi:type="dcterms:W3CDTF">2025-12-31T07:04:27Z</dcterms:modified>
</cp:coreProperties>
</file>