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0" documentId="13_ncr:1_{32252AEB-6CEF-4B8D-A98E-A582FCE305B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ssion 1" sheetId="1" r:id="rId1"/>
    <sheet name="Session 2" sheetId="2" r:id="rId2"/>
    <sheet name="Session 3" sheetId="3" r:id="rId3"/>
  </sheets>
  <definedNames>
    <definedName name="_">'Session 3'!$B$2:$C$8</definedName>
    <definedName name="Beta">'Session 3'!$H$5</definedName>
    <definedName name="Cost_of_Debt">'Session 3'!$H$8</definedName>
    <definedName name="Cost_of_Equity">'Session 3'!$H$6</definedName>
    <definedName name="CostofDebt">'Session 3'!$C$5</definedName>
    <definedName name="Coupon_Rate">'Session 3'!$M$6:$M$9</definedName>
    <definedName name="D_E_Ratio">'Session 3'!$K$6:$K$9</definedName>
    <definedName name="Debt_Funding">'Session 3'!$H$15</definedName>
    <definedName name="Debt_Value">'Session 3'!$H$13</definedName>
    <definedName name="DebtValue">'Session 3'!$C$8</definedName>
    <definedName name="Equity_Funding">'Session 3'!$H$14</definedName>
    <definedName name="Equity_Value">'Session 3'!$H$12</definedName>
    <definedName name="EquityValue">'Session 3'!$C$7</definedName>
    <definedName name="ERP">'Session 3'!$H$4</definedName>
    <definedName name="MarketReturns">'Session 3'!$H$3</definedName>
    <definedName name="Post_Tax_Cost_of_Debt">'Session 3'!$H$10</definedName>
    <definedName name="Risk_Rating">'Session 3'!$L$6:$L$9</definedName>
    <definedName name="RiskFreeRate">'Session 3'!$H$2</definedName>
    <definedName name="Tax_Rate">'Session 3'!$H$9</definedName>
    <definedName name="TaxRate">'Session 3'!$C$6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3" l="1"/>
  <c r="S13" i="3" s="1"/>
  <c r="T13" i="3" s="1"/>
  <c r="U13" i="3" s="1"/>
  <c r="Q13" i="3"/>
  <c r="P13" i="3"/>
  <c r="O16" i="3"/>
  <c r="O17" i="3"/>
  <c r="O18" i="3" s="1"/>
  <c r="O19" i="3" s="1"/>
  <c r="O20" i="3" s="1"/>
  <c r="O21" i="3" s="1"/>
  <c r="O22" i="3" s="1"/>
  <c r="O15" i="3"/>
  <c r="O14" i="3"/>
  <c r="L16" i="3"/>
  <c r="L3" i="3"/>
  <c r="H14" i="3"/>
  <c r="H15" i="3" s="1"/>
  <c r="H10" i="3"/>
  <c r="H4" i="3"/>
  <c r="H6" i="3" s="1"/>
  <c r="H3" i="3"/>
  <c r="H2" i="3"/>
  <c r="C3" i="3"/>
  <c r="C4" i="3"/>
  <c r="C5" i="3"/>
  <c r="C6" i="3"/>
  <c r="C7" i="3"/>
  <c r="C8" i="3"/>
  <c r="C2" i="3"/>
  <c r="C40" i="2"/>
  <c r="D40" i="2"/>
  <c r="C42" i="2"/>
  <c r="D42" i="2"/>
  <c r="C44" i="2"/>
  <c r="D44" i="2"/>
  <c r="C45" i="2"/>
  <c r="D45" i="2"/>
  <c r="C47" i="2"/>
  <c r="D47" i="2"/>
  <c r="D39" i="2"/>
  <c r="C39" i="2"/>
  <c r="B36" i="2"/>
  <c r="C25" i="2"/>
  <c r="D25" i="2"/>
  <c r="C26" i="2"/>
  <c r="D26" i="2"/>
  <c r="C28" i="2"/>
  <c r="D28" i="2"/>
  <c r="C30" i="2"/>
  <c r="D30" i="2"/>
  <c r="C31" i="2"/>
  <c r="D31" i="2"/>
  <c r="C33" i="2"/>
  <c r="D33" i="2"/>
  <c r="B24" i="2"/>
  <c r="E22" i="2"/>
  <c r="F22" i="2" s="1"/>
  <c r="G22" i="2" s="1"/>
  <c r="H22" i="2" s="1"/>
  <c r="I22" i="2" s="1"/>
  <c r="F21" i="2"/>
  <c r="F11" i="2" s="1"/>
  <c r="F45" i="2" s="1"/>
  <c r="E21" i="2"/>
  <c r="E11" i="2" s="1"/>
  <c r="E45" i="2" s="1"/>
  <c r="D21" i="2"/>
  <c r="C21" i="2"/>
  <c r="E20" i="2"/>
  <c r="F20" i="2" s="1"/>
  <c r="G20" i="2" s="1"/>
  <c r="H20" i="2" s="1"/>
  <c r="I20" i="2" s="1"/>
  <c r="D20" i="2"/>
  <c r="C20" i="2"/>
  <c r="E19" i="2"/>
  <c r="F19" i="2" s="1"/>
  <c r="D19" i="2"/>
  <c r="C19" i="2"/>
  <c r="E18" i="2"/>
  <c r="F18" i="2" s="1"/>
  <c r="G18" i="2" s="1"/>
  <c r="H18" i="2" s="1"/>
  <c r="I18" i="2" s="1"/>
  <c r="D18" i="2"/>
  <c r="C18" i="2"/>
  <c r="E17" i="2"/>
  <c r="F17" i="2" s="1"/>
  <c r="G17" i="2" s="1"/>
  <c r="H17" i="2" s="1"/>
  <c r="I17" i="2" s="1"/>
  <c r="D17" i="2"/>
  <c r="C17" i="2"/>
  <c r="B16" i="2"/>
  <c r="D7" i="2"/>
  <c r="D9" i="2" s="1"/>
  <c r="D12" i="2" s="1"/>
  <c r="D14" i="2" s="1"/>
  <c r="D34" i="2" s="1"/>
  <c r="C7" i="2"/>
  <c r="C9" i="2" s="1"/>
  <c r="C12" i="2" s="1"/>
  <c r="C14" i="2" s="1"/>
  <c r="C34" i="2" s="1"/>
  <c r="E5" i="2"/>
  <c r="E25" i="2" s="1"/>
  <c r="B4" i="2"/>
  <c r="C2" i="2"/>
  <c r="D2" i="2" s="1"/>
  <c r="E2" i="2" s="1"/>
  <c r="F2" i="2" s="1"/>
  <c r="G2" i="2" s="1"/>
  <c r="H2" i="2" s="1"/>
  <c r="I2" i="2" s="1"/>
  <c r="E5" i="1"/>
  <c r="E10" i="1" s="1"/>
  <c r="E11" i="1"/>
  <c r="E8" i="1"/>
  <c r="F21" i="1"/>
  <c r="G21" i="1" s="1"/>
  <c r="H21" i="1" s="1"/>
  <c r="I21" i="1" s="1"/>
  <c r="I11" i="1" s="1"/>
  <c r="F22" i="1"/>
  <c r="G22" i="1" s="1"/>
  <c r="H22" i="1" s="1"/>
  <c r="I22" i="1" s="1"/>
  <c r="F20" i="1"/>
  <c r="G20" i="1" s="1"/>
  <c r="H20" i="1" s="1"/>
  <c r="I20" i="1" s="1"/>
  <c r="F19" i="1"/>
  <c r="G19" i="1" s="1"/>
  <c r="F18" i="1"/>
  <c r="G18" i="1" s="1"/>
  <c r="H18" i="1" s="1"/>
  <c r="I18" i="1" s="1"/>
  <c r="F17" i="1"/>
  <c r="G17" i="1" s="1"/>
  <c r="H17" i="1" s="1"/>
  <c r="I17" i="1" s="1"/>
  <c r="E21" i="1"/>
  <c r="E19" i="1"/>
  <c r="E22" i="1"/>
  <c r="E20" i="1"/>
  <c r="E18" i="1"/>
  <c r="E17" i="1"/>
  <c r="D18" i="1"/>
  <c r="C17" i="1"/>
  <c r="D17" i="1"/>
  <c r="D21" i="1"/>
  <c r="D20" i="1"/>
  <c r="D19" i="1"/>
  <c r="C21" i="1"/>
  <c r="C20" i="1"/>
  <c r="C19" i="1"/>
  <c r="C18" i="1"/>
  <c r="D7" i="1"/>
  <c r="D9" i="1" s="1"/>
  <c r="D12" i="1" s="1"/>
  <c r="D22" i="1" s="1"/>
  <c r="C7" i="1"/>
  <c r="C9" i="1" s="1"/>
  <c r="C12" i="1" s="1"/>
  <c r="D2" i="1"/>
  <c r="E2" i="1" s="1"/>
  <c r="F2" i="1" s="1"/>
  <c r="G2" i="1" s="1"/>
  <c r="H2" i="1" s="1"/>
  <c r="I2" i="1" s="1"/>
  <c r="L17" i="3" l="1"/>
  <c r="L18" i="3" s="1"/>
  <c r="O13" i="3" s="1"/>
  <c r="H23" i="3"/>
  <c r="D43" i="2"/>
  <c r="E39" i="2"/>
  <c r="C43" i="2"/>
  <c r="D41" i="2"/>
  <c r="D46" i="2"/>
  <c r="C41" i="2"/>
  <c r="C46" i="2"/>
  <c r="E8" i="2"/>
  <c r="E31" i="2"/>
  <c r="D29" i="2"/>
  <c r="C29" i="2"/>
  <c r="D27" i="2"/>
  <c r="D32" i="2"/>
  <c r="C27" i="2"/>
  <c r="C22" i="2"/>
  <c r="C32" i="2"/>
  <c r="D22" i="2"/>
  <c r="F8" i="2"/>
  <c r="F42" i="2" s="1"/>
  <c r="G19" i="2"/>
  <c r="G21" i="2"/>
  <c r="F5" i="2"/>
  <c r="F39" i="2" s="1"/>
  <c r="E6" i="2"/>
  <c r="E40" i="2" s="1"/>
  <c r="E10" i="2"/>
  <c r="F8" i="1"/>
  <c r="G8" i="1"/>
  <c r="H19" i="1"/>
  <c r="H11" i="1"/>
  <c r="G11" i="1"/>
  <c r="F11" i="1"/>
  <c r="C22" i="1"/>
  <c r="C14" i="1"/>
  <c r="F5" i="1"/>
  <c r="D14" i="1"/>
  <c r="E6" i="1"/>
  <c r="E7" i="1" s="1"/>
  <c r="E9" i="1" s="1"/>
  <c r="E12" i="1" s="1"/>
  <c r="E28" i="2" l="1"/>
  <c r="E42" i="2"/>
  <c r="E30" i="2"/>
  <c r="E44" i="2"/>
  <c r="E7" i="2"/>
  <c r="E41" i="2" s="1"/>
  <c r="E26" i="2"/>
  <c r="F28" i="2"/>
  <c r="F25" i="2"/>
  <c r="F31" i="2"/>
  <c r="H21" i="2"/>
  <c r="G11" i="2"/>
  <c r="G45" i="2" s="1"/>
  <c r="G8" i="2"/>
  <c r="G42" i="2" s="1"/>
  <c r="H19" i="2"/>
  <c r="G5" i="2"/>
  <c r="G39" i="2" s="1"/>
  <c r="F10" i="2"/>
  <c r="F6" i="2"/>
  <c r="F40" i="2" s="1"/>
  <c r="I19" i="1"/>
  <c r="I8" i="1" s="1"/>
  <c r="H8" i="1"/>
  <c r="E13" i="1"/>
  <c r="E14" i="1" s="1"/>
  <c r="G5" i="1"/>
  <c r="F10" i="1"/>
  <c r="F6" i="1"/>
  <c r="F7" i="1" s="1"/>
  <c r="F9" i="1" s="1"/>
  <c r="F12" i="1" s="1"/>
  <c r="F13" i="1" s="1"/>
  <c r="F14" i="1" s="1"/>
  <c r="F30" i="2" l="1"/>
  <c r="F44" i="2"/>
  <c r="E9" i="2"/>
  <c r="E43" i="2" s="1"/>
  <c r="E27" i="2"/>
  <c r="F7" i="2"/>
  <c r="F41" i="2" s="1"/>
  <c r="F26" i="2"/>
  <c r="G28" i="2"/>
  <c r="G25" i="2"/>
  <c r="G31" i="2"/>
  <c r="H8" i="2"/>
  <c r="H42" i="2" s="1"/>
  <c r="I19" i="2"/>
  <c r="I8" i="2" s="1"/>
  <c r="I42" i="2" s="1"/>
  <c r="I21" i="2"/>
  <c r="I11" i="2" s="1"/>
  <c r="I45" i="2" s="1"/>
  <c r="H11" i="2"/>
  <c r="H45" i="2" s="1"/>
  <c r="G10" i="2"/>
  <c r="G6" i="2"/>
  <c r="H5" i="2"/>
  <c r="H39" i="2" s="1"/>
  <c r="G10" i="1"/>
  <c r="G6" i="1"/>
  <c r="G7" i="1" s="1"/>
  <c r="G9" i="1" s="1"/>
  <c r="H5" i="1"/>
  <c r="G26" i="2" l="1"/>
  <c r="G40" i="2"/>
  <c r="G30" i="2"/>
  <c r="G44" i="2"/>
  <c r="G7" i="2"/>
  <c r="E12" i="2"/>
  <c r="E46" i="2" s="1"/>
  <c r="E29" i="2"/>
  <c r="H28" i="2"/>
  <c r="H25" i="2"/>
  <c r="H31" i="2"/>
  <c r="F9" i="2"/>
  <c r="F43" i="2" s="1"/>
  <c r="F27" i="2"/>
  <c r="H10" i="2"/>
  <c r="H6" i="2"/>
  <c r="I5" i="2"/>
  <c r="I39" i="2" s="1"/>
  <c r="G12" i="1"/>
  <c r="G13" i="1" s="1"/>
  <c r="G14" i="1" s="1"/>
  <c r="I5" i="1"/>
  <c r="H6" i="1"/>
  <c r="H7" i="1" s="1"/>
  <c r="H9" i="1" s="1"/>
  <c r="H10" i="1"/>
  <c r="G9" i="2" l="1"/>
  <c r="G43" i="2" s="1"/>
  <c r="G41" i="2"/>
  <c r="H26" i="2"/>
  <c r="H40" i="2"/>
  <c r="H30" i="2"/>
  <c r="H44" i="2"/>
  <c r="G27" i="2"/>
  <c r="I31" i="2"/>
  <c r="I28" i="2"/>
  <c r="I25" i="2"/>
  <c r="F12" i="2"/>
  <c r="F46" i="2" s="1"/>
  <c r="F29" i="2"/>
  <c r="E32" i="2"/>
  <c r="E13" i="2"/>
  <c r="H7" i="2"/>
  <c r="H41" i="2" s="1"/>
  <c r="I10" i="2"/>
  <c r="I6" i="2"/>
  <c r="H12" i="1"/>
  <c r="H13" i="1" s="1"/>
  <c r="H14" i="1" s="1"/>
  <c r="I6" i="1"/>
  <c r="I7" i="1" s="1"/>
  <c r="I9" i="1" s="1"/>
  <c r="I10" i="1"/>
  <c r="I26" i="2" l="1"/>
  <c r="I40" i="2"/>
  <c r="G29" i="2"/>
  <c r="I30" i="2"/>
  <c r="I44" i="2"/>
  <c r="G12" i="2"/>
  <c r="G46" i="2" s="1"/>
  <c r="E33" i="2"/>
  <c r="E47" i="2"/>
  <c r="I7" i="2"/>
  <c r="E14" i="2"/>
  <c r="E34" i="2" s="1"/>
  <c r="H9" i="2"/>
  <c r="H43" i="2" s="1"/>
  <c r="H27" i="2"/>
  <c r="F32" i="2"/>
  <c r="F13" i="2"/>
  <c r="F47" i="2" s="1"/>
  <c r="I12" i="1"/>
  <c r="I13" i="1" s="1"/>
  <c r="I14" i="1" s="1"/>
  <c r="G32" i="2" l="1"/>
  <c r="G13" i="2"/>
  <c r="G33" i="2"/>
  <c r="G47" i="2"/>
  <c r="I9" i="2"/>
  <c r="I43" i="2" s="1"/>
  <c r="I41" i="2"/>
  <c r="I27" i="2"/>
  <c r="I12" i="2"/>
  <c r="I46" i="2" s="1"/>
  <c r="I29" i="2"/>
  <c r="F14" i="2"/>
  <c r="F34" i="2" s="1"/>
  <c r="F33" i="2"/>
  <c r="H12" i="2"/>
  <c r="H46" i="2" s="1"/>
  <c r="H29" i="2"/>
  <c r="G14" i="2"/>
  <c r="G34" i="2" s="1"/>
  <c r="I32" i="2" l="1"/>
  <c r="I13" i="2"/>
  <c r="I47" i="2" s="1"/>
  <c r="H32" i="2"/>
  <c r="H13" i="2"/>
  <c r="H47" i="2" s="1"/>
  <c r="I14" i="2" l="1"/>
  <c r="I34" i="2" s="1"/>
  <c r="I33" i="2"/>
  <c r="H14" i="2"/>
  <c r="H34" i="2" s="1"/>
  <c r="H33" i="2"/>
</calcChain>
</file>

<file path=xl/sharedStrings.xml><?xml version="1.0" encoding="utf-8"?>
<sst xmlns="http://schemas.openxmlformats.org/spreadsheetml/2006/main" count="100" uniqueCount="52">
  <si>
    <t>INR (CRORES)</t>
  </si>
  <si>
    <t>Income statement</t>
  </si>
  <si>
    <t>Revenue</t>
  </si>
  <si>
    <t>COGS</t>
  </si>
  <si>
    <t>Gross Profit</t>
  </si>
  <si>
    <t>Selling and ADM expenses</t>
  </si>
  <si>
    <t>EBIDTA</t>
  </si>
  <si>
    <t>Depreceation</t>
  </si>
  <si>
    <t>Interest</t>
  </si>
  <si>
    <t>EBT</t>
  </si>
  <si>
    <t>Taxes</t>
  </si>
  <si>
    <t>Net Income</t>
  </si>
  <si>
    <t>Basic Assumption Drivers</t>
  </si>
  <si>
    <t>Revenue Growth</t>
  </si>
  <si>
    <t>COGS % of Revenue</t>
  </si>
  <si>
    <t>S&amp;G Expenses</t>
  </si>
  <si>
    <t>Depreciation % Sales</t>
  </si>
  <si>
    <t>INR (Crores)</t>
  </si>
  <si>
    <t xml:space="preserve">Tata Steels </t>
  </si>
  <si>
    <t>Selling &amp; General Expenses</t>
  </si>
  <si>
    <t>EBITDA</t>
  </si>
  <si>
    <t>Depreciation</t>
  </si>
  <si>
    <t>RiskFreeRate</t>
  </si>
  <si>
    <t>MarketReturns</t>
  </si>
  <si>
    <t>Beta</t>
  </si>
  <si>
    <t>CostofDebt</t>
  </si>
  <si>
    <t>TaxRate</t>
  </si>
  <si>
    <t>EquityValue</t>
  </si>
  <si>
    <t>DebtValue</t>
  </si>
  <si>
    <t>Cost of Capital</t>
  </si>
  <si>
    <t>ERP</t>
  </si>
  <si>
    <t>Cost of Equity</t>
  </si>
  <si>
    <t>Cost of Debt</t>
  </si>
  <si>
    <t>Tax Rate</t>
  </si>
  <si>
    <t>Post Tax Cost of Debt</t>
  </si>
  <si>
    <t>Equity Value</t>
  </si>
  <si>
    <t>Debt Value</t>
  </si>
  <si>
    <t>Equity Funding</t>
  </si>
  <si>
    <t>Debt Funding</t>
  </si>
  <si>
    <t>D/E Ratio</t>
  </si>
  <si>
    <t>Coupon Rate</t>
  </si>
  <si>
    <t>Risk Rating</t>
  </si>
  <si>
    <t>Baa2</t>
  </si>
  <si>
    <t>Baa3</t>
  </si>
  <si>
    <t>Ba1</t>
  </si>
  <si>
    <t>Ba2</t>
  </si>
  <si>
    <t>Use VLOOKUP to solve this - Approximate Match (1)</t>
  </si>
  <si>
    <t>Current Sales</t>
  </si>
  <si>
    <t>Sales Growth</t>
  </si>
  <si>
    <t>Gross Margin</t>
  </si>
  <si>
    <t>Next Year Sales</t>
  </si>
  <si>
    <t>Cost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</si>
</sst>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&quot;A&quot;"/>
    <numFmt numFmtId="165" formatCode="0&quot;E&quot;"/>
    <numFmt numFmtId="166" formatCode="#,##0.0_);\(#,##0.0\)"/>
    <numFmt numFmtId="167" formatCode="#,##0.00%;\(#,##0.00\)"/>
    <numFmt numFmtId="168" formatCode="###0\ \A"/>
    <numFmt numFmtId="169" formatCode="###0\ \E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4E7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5">
    <xf numFmtId="0" fontId="0" fillId="0" borderId="0" xfId="0"/>
    <xf numFmtId="0" fontId="2" fillId="2" borderId="0" xfId="0" applyFont="1" applyFill="1" applyAlignment="1">
      <alignment horizontal="left"/>
    </xf>
    <xf numFmtId="0" fontId="2" fillId="0" borderId="0" xfId="0" applyFont="1"/>
    <xf numFmtId="37" fontId="4" fillId="0" borderId="0" xfId="0" applyNumberFormat="1" applyFont="1" applyAlignment="1">
      <alignment horizontal="right" wrapText="1"/>
    </xf>
    <xf numFmtId="37" fontId="0" fillId="0" borderId="0" xfId="0" applyNumberFormat="1" applyAlignment="1">
      <alignment horizontal="right" wrapText="1"/>
    </xf>
    <xf numFmtId="166" fontId="4" fillId="0" borderId="0" xfId="0" applyNumberFormat="1" applyFont="1" applyAlignment="1">
      <alignment horizontal="right" wrapText="1"/>
    </xf>
    <xf numFmtId="166" fontId="0" fillId="0" borderId="0" xfId="0" applyNumberFormat="1" applyAlignment="1">
      <alignment horizontal="right" wrapText="1"/>
    </xf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6" fillId="3" borderId="0" xfId="0" applyFont="1" applyFill="1"/>
    <xf numFmtId="0" fontId="0" fillId="0" borderId="1" xfId="0" applyBorder="1"/>
    <xf numFmtId="166" fontId="4" fillId="0" borderId="1" xfId="0" applyNumberFormat="1" applyFont="1" applyBorder="1" applyAlignment="1">
      <alignment horizontal="right" wrapText="1"/>
    </xf>
    <xf numFmtId="37" fontId="4" fillId="0" borderId="1" xfId="0" applyNumberFormat="1" applyFont="1" applyBorder="1" applyAlignment="1">
      <alignment horizontal="right" wrapText="1"/>
    </xf>
    <xf numFmtId="0" fontId="0" fillId="0" borderId="2" xfId="0" applyBorder="1"/>
    <xf numFmtId="37" fontId="0" fillId="0" borderId="2" xfId="0" applyNumberFormat="1" applyBorder="1" applyAlignment="1">
      <alignment horizontal="right" wrapText="1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6" fillId="3" borderId="0" xfId="0" applyFont="1" applyFill="1" applyAlignment="1">
      <alignment horizontal="right"/>
    </xf>
    <xf numFmtId="167" fontId="0" fillId="0" borderId="0" xfId="1" applyNumberFormat="1" applyFont="1" applyAlignment="1">
      <alignment horizontal="right" wrapText="1"/>
    </xf>
    <xf numFmtId="167" fontId="0" fillId="0" borderId="0" xfId="1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5" fillId="0" borderId="0" xfId="0" applyNumberFormat="1" applyFont="1" applyAlignment="1">
      <alignment horizontal="right"/>
    </xf>
    <xf numFmtId="0" fontId="7" fillId="4" borderId="0" xfId="0" applyFont="1" applyFill="1" applyAlignment="1">
      <alignment horizontal="left"/>
    </xf>
    <xf numFmtId="168" fontId="7" fillId="4" borderId="0" xfId="0" applyNumberFormat="1" applyFont="1" applyFill="1" applyAlignment="1">
      <alignment horizontal="right"/>
    </xf>
    <xf numFmtId="169" fontId="7" fillId="4" borderId="0" xfId="0" applyNumberFormat="1" applyFont="1" applyFill="1" applyAlignment="1">
      <alignment horizontal="right"/>
    </xf>
    <xf numFmtId="10" fontId="0" fillId="0" borderId="0" xfId="0" applyNumberFormat="1" applyAlignment="1">
      <alignment wrapText="1"/>
    </xf>
    <xf numFmtId="10" fontId="8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9" fontId="9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right" wrapText="1"/>
    </xf>
    <xf numFmtId="10" fontId="0" fillId="0" borderId="0" xfId="0" applyNumberFormat="1" applyAlignment="1">
      <alignment horizontal="right" wrapText="1"/>
    </xf>
    <xf numFmtId="0" fontId="0" fillId="0" borderId="0" xfId="0" applyAlignment="1">
      <alignment horizontal="center" wrapText="1"/>
    </xf>
    <xf numFmtId="0" fontId="9" fillId="0" borderId="3" xfId="0" applyFont="1" applyBorder="1" applyAlignment="1">
      <alignment horizontal="right" wrapText="1"/>
    </xf>
    <xf numFmtId="0" fontId="0" fillId="0" borderId="9" xfId="0" applyBorder="1" applyAlignment="1">
      <alignment wrapText="1"/>
    </xf>
    <xf numFmtId="9" fontId="9" fillId="0" borderId="3" xfId="0" applyNumberFormat="1" applyFont="1" applyBorder="1" applyAlignment="1">
      <alignment horizontal="right" wrapText="1"/>
    </xf>
    <xf numFmtId="10" fontId="0" fillId="0" borderId="0" xfId="0" applyNumberFormat="1" applyAlignment="1">
      <alignment horizontal="center" wrapText="1"/>
    </xf>
    <xf numFmtId="10" fontId="0" fillId="0" borderId="10" xfId="0" applyNumberFormat="1" applyBorder="1" applyAlignment="1">
      <alignment horizontal="center" wrapText="1"/>
    </xf>
    <xf numFmtId="10" fontId="9" fillId="0" borderId="0" xfId="0" applyNumberFormat="1" applyFont="1" applyAlignment="1">
      <alignment horizontal="right" wrapText="1"/>
    </xf>
    <xf numFmtId="4" fontId="0" fillId="0" borderId="0" xfId="0" applyNumberFormat="1" applyAlignment="1">
      <alignment horizontal="right" wrapText="1"/>
    </xf>
    <xf numFmtId="4" fontId="9" fillId="0" borderId="0" xfId="0" applyNumberFormat="1" applyFont="1" applyAlignment="1">
      <alignment horizontal="right" wrapText="1"/>
    </xf>
    <xf numFmtId="4" fontId="0" fillId="0" borderId="3" xfId="0" applyNumberFormat="1" applyBorder="1" applyAlignment="1">
      <alignment horizontal="right" wrapText="1"/>
    </xf>
    <xf numFmtId="4" fontId="0" fillId="0" borderId="4" xfId="0" applyNumberFormat="1" applyBorder="1" applyAlignment="1">
      <alignment horizontal="right"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10" fillId="5" borderId="13" xfId="0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10" fillId="5" borderId="5" xfId="0" applyFont="1" applyFill="1" applyBorder="1" applyAlignment="1">
      <alignment horizontal="center" wrapText="1"/>
    </xf>
    <xf numFmtId="0" fontId="10" fillId="5" borderId="12" xfId="0" applyFont="1" applyFill="1" applyBorder="1" applyAlignment="1">
      <alignment horizontal="center" wrapText="1"/>
    </xf>
    <xf numFmtId="10" fontId="0" fillId="0" borderId="9" xfId="0" applyNumberFormat="1" applyBorder="1" applyAlignment="1">
      <alignment wrapText="1"/>
    </xf>
    <xf numFmtId="10" fontId="0" fillId="0" borderId="3" xfId="0" applyNumberFormat="1" applyBorder="1" applyAlignment="1">
      <alignment wrapText="1"/>
    </xf>
    <xf numFmtId="4" fontId="11" fillId="0" borderId="0" xfId="0" applyNumberFormat="1" applyFont="1" applyAlignment="1">
      <alignment wrapText="1"/>
    </xf>
    <xf numFmtId="3" fontId="0" fillId="0" borderId="3" xfId="0" applyNumberFormat="1" applyBorder="1" applyAlignment="1">
      <alignment wrapText="1"/>
    </xf>
    <xf numFmtId="3" fontId="0" fillId="0" borderId="11" xfId="0" applyNumberFormat="1" applyBorder="1" applyAlignment="1">
      <alignment wrapText="1"/>
    </xf>
    <xf numFmtId="3" fontId="0" fillId="0" borderId="5" xfId="0" applyNumberFormat="1" applyBorder="1" applyAlignment="1">
      <alignment wrapText="1"/>
    </xf>
    <xf numFmtId="3" fontId="0" fillId="0" borderId="13" xfId="0" applyNumberFormat="1" applyBorder="1" applyAlignment="1">
      <alignment wrapText="1"/>
    </xf>
    <xf numFmtId="3" fontId="0" fillId="0" borderId="0" xfId="0" applyNumberFormat="1" applyBorder="1" applyAlignment="1">
      <alignment wrapText="1"/>
    </xf>
    <xf numFmtId="10" fontId="0" fillId="0" borderId="16" xfId="0" applyNumberFormat="1" applyBorder="1" applyAlignment="1">
      <alignment wrapText="1"/>
    </xf>
    <xf numFmtId="3" fontId="0" fillId="0" borderId="17" xfId="0" applyNumberFormat="1" applyBorder="1" applyAlignment="1">
      <alignment wrapText="1"/>
    </xf>
    <xf numFmtId="3" fontId="0" fillId="0" borderId="15" xfId="0" applyNumberFormat="1" applyBorder="1" applyAlignment="1">
      <alignment wrapText="1"/>
    </xf>
    <xf numFmtId="10" fontId="0" fillId="0" borderId="10" xfId="0" applyNumberFormat="1" applyBorder="1" applyAlignment="1">
      <alignment wrapText="1"/>
    </xf>
    <xf numFmtId="3" fontId="0" fillId="0" borderId="14" xfId="0" applyNumberFormat="1" applyBorder="1" applyAlignment="1">
      <alignment wrapText="1"/>
    </xf>
    <xf numFmtId="3" fontId="0" fillId="0" borderId="16" xfId="0" applyNumberForma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3"/>
  <sheetViews>
    <sheetView workbookViewId="0">
      <pane ySplit="1" topLeftCell="A2" activePane="bottomLeft" state="frozen"/>
      <selection pane="bottomLeft" activeCell="B34" sqref="B34"/>
    </sheetView>
  </sheetViews>
  <sheetFormatPr defaultRowHeight="14.4" outlineLevelRow="2" x14ac:dyDescent="0.3"/>
  <cols>
    <col min="2" max="2" width="25.77734375" customWidth="1"/>
    <col min="3" max="3" width="9.88671875" customWidth="1"/>
    <col min="4" max="4" width="9.44140625" bestFit="1" customWidth="1"/>
    <col min="6" max="6" width="11.44140625" bestFit="1" customWidth="1"/>
    <col min="9" max="9" width="8.88671875" customWidth="1"/>
    <col min="15" max="15" width="20.77734375" customWidth="1"/>
  </cols>
  <sheetData>
    <row r="2" spans="2:9" s="2" customFormat="1" x14ac:dyDescent="0.3">
      <c r="B2" s="1" t="s">
        <v>0</v>
      </c>
      <c r="C2" s="17">
        <v>2020</v>
      </c>
      <c r="D2" s="17">
        <f>C2+1</f>
        <v>2021</v>
      </c>
      <c r="E2" s="18">
        <f t="shared" ref="E2:I2" si="0">D2+1</f>
        <v>2022</v>
      </c>
      <c r="F2" s="18">
        <f t="shared" si="0"/>
        <v>2023</v>
      </c>
      <c r="G2" s="18">
        <f t="shared" si="0"/>
        <v>2024</v>
      </c>
      <c r="H2" s="18">
        <f t="shared" si="0"/>
        <v>2025</v>
      </c>
      <c r="I2" s="18">
        <f t="shared" si="0"/>
        <v>2026</v>
      </c>
    </row>
    <row r="4" spans="2:9" x14ac:dyDescent="0.3">
      <c r="B4" s="7" t="s">
        <v>1</v>
      </c>
      <c r="C4" s="8"/>
      <c r="D4" s="8"/>
      <c r="E4" s="8"/>
      <c r="F4" s="8"/>
      <c r="G4" s="11"/>
      <c r="H4" s="8"/>
      <c r="I4" s="8"/>
    </row>
    <row r="5" spans="2:9" outlineLevel="2" x14ac:dyDescent="0.3">
      <c r="B5" t="s">
        <v>2</v>
      </c>
      <c r="C5" s="5">
        <v>20000</v>
      </c>
      <c r="D5" s="5">
        <v>22500</v>
      </c>
      <c r="E5" s="19">
        <f>D5*(1+E17)</f>
        <v>24750.000000000004</v>
      </c>
      <c r="F5" s="19">
        <f t="shared" ref="F5:I5" si="1">E5*(1+F17)</f>
        <v>27225.000000000007</v>
      </c>
      <c r="G5" s="19">
        <f t="shared" si="1"/>
        <v>29947.500000000011</v>
      </c>
      <c r="H5" s="19">
        <f t="shared" si="1"/>
        <v>32942.250000000015</v>
      </c>
      <c r="I5" s="19">
        <f t="shared" si="1"/>
        <v>36236.47500000002</v>
      </c>
    </row>
    <row r="6" spans="2:9" outlineLevel="2" x14ac:dyDescent="0.3">
      <c r="B6" s="12" t="s">
        <v>3</v>
      </c>
      <c r="C6" s="13">
        <v>8000</v>
      </c>
      <c r="D6" s="13">
        <v>9000</v>
      </c>
      <c r="E6" s="20">
        <f>E5*E18</f>
        <v>2475.0000000000005</v>
      </c>
      <c r="F6" s="20">
        <f t="shared" ref="F6:I6" si="2">F5*F18</f>
        <v>2722.5000000000009</v>
      </c>
      <c r="G6" s="20">
        <f t="shared" si="2"/>
        <v>2994.7500000000014</v>
      </c>
      <c r="H6" s="20">
        <f t="shared" si="2"/>
        <v>3294.2250000000017</v>
      </c>
      <c r="I6" s="20">
        <f t="shared" si="2"/>
        <v>3623.6475000000023</v>
      </c>
    </row>
    <row r="7" spans="2:9" outlineLevel="2" x14ac:dyDescent="0.3">
      <c r="B7" t="s">
        <v>4</v>
      </c>
      <c r="C7" s="6">
        <f>C5-C6</f>
        <v>12000</v>
      </c>
      <c r="D7" s="6">
        <f>D5-D6</f>
        <v>13500</v>
      </c>
      <c r="E7" s="6">
        <f>E5-E6</f>
        <v>22275.000000000004</v>
      </c>
      <c r="F7" s="6">
        <f t="shared" ref="F7:I7" si="3">F5-F6</f>
        <v>24502.500000000007</v>
      </c>
      <c r="G7" s="6">
        <f t="shared" si="3"/>
        <v>26952.750000000011</v>
      </c>
      <c r="H7" s="6">
        <f t="shared" si="3"/>
        <v>29648.025000000012</v>
      </c>
      <c r="I7" s="6">
        <f t="shared" si="3"/>
        <v>32612.827500000018</v>
      </c>
    </row>
    <row r="8" spans="2:9" outlineLevel="2" x14ac:dyDescent="0.3">
      <c r="B8" s="12" t="s">
        <v>5</v>
      </c>
      <c r="C8" s="14">
        <v>2000</v>
      </c>
      <c r="D8" s="14">
        <v>2250</v>
      </c>
      <c r="E8" s="20">
        <f>E19</f>
        <v>2500</v>
      </c>
      <c r="F8" s="20">
        <f t="shared" ref="F8:I8" si="4">F19</f>
        <v>2500</v>
      </c>
      <c r="G8" s="20">
        <f t="shared" si="4"/>
        <v>2500</v>
      </c>
      <c r="H8" s="20">
        <f t="shared" si="4"/>
        <v>2500</v>
      </c>
      <c r="I8" s="20">
        <f t="shared" si="4"/>
        <v>2500</v>
      </c>
    </row>
    <row r="9" spans="2:9" outlineLevel="2" x14ac:dyDescent="0.3">
      <c r="B9" t="s">
        <v>6</v>
      </c>
      <c r="C9" s="4">
        <f>C7-C8</f>
        <v>10000</v>
      </c>
      <c r="D9" s="4">
        <f>D7-D8</f>
        <v>11250</v>
      </c>
      <c r="E9" s="4">
        <f>E7-E8</f>
        <v>19775.000000000004</v>
      </c>
      <c r="F9" s="4">
        <f t="shared" ref="F9:I9" si="5">F7-F8</f>
        <v>22002.500000000007</v>
      </c>
      <c r="G9" s="4">
        <f t="shared" si="5"/>
        <v>24452.750000000011</v>
      </c>
      <c r="H9" s="4">
        <f t="shared" si="5"/>
        <v>27148.025000000012</v>
      </c>
      <c r="I9" s="4">
        <f t="shared" si="5"/>
        <v>30112.827500000018</v>
      </c>
    </row>
    <row r="10" spans="2:9" outlineLevel="2" x14ac:dyDescent="0.3">
      <c r="B10" t="s">
        <v>7</v>
      </c>
      <c r="C10" s="3">
        <v>800</v>
      </c>
      <c r="D10" s="3">
        <v>900</v>
      </c>
      <c r="E10" s="21">
        <f>E5*E20</f>
        <v>1237.5000000000002</v>
      </c>
      <c r="F10" s="21">
        <f t="shared" ref="F10:I10" si="6">F5*F20</f>
        <v>1361.2500000000005</v>
      </c>
      <c r="G10" s="21">
        <f t="shared" si="6"/>
        <v>1497.3750000000007</v>
      </c>
      <c r="H10" s="21">
        <f t="shared" si="6"/>
        <v>1647.1125000000009</v>
      </c>
      <c r="I10" s="21">
        <f t="shared" si="6"/>
        <v>1811.8237500000012</v>
      </c>
    </row>
    <row r="11" spans="2:9" outlineLevel="2" x14ac:dyDescent="0.3">
      <c r="B11" s="12" t="s">
        <v>8</v>
      </c>
      <c r="C11" s="14">
        <v>200</v>
      </c>
      <c r="D11" s="14">
        <v>225</v>
      </c>
      <c r="E11" s="20">
        <f>E21</f>
        <v>250</v>
      </c>
      <c r="F11" s="20">
        <f t="shared" ref="F11:I11" si="7">F21</f>
        <v>250</v>
      </c>
      <c r="G11" s="20">
        <f t="shared" si="7"/>
        <v>250</v>
      </c>
      <c r="H11" s="20">
        <f t="shared" si="7"/>
        <v>250</v>
      </c>
      <c r="I11" s="20">
        <f t="shared" si="7"/>
        <v>250</v>
      </c>
    </row>
    <row r="12" spans="2:9" outlineLevel="2" x14ac:dyDescent="0.3">
      <c r="B12" t="s">
        <v>9</v>
      </c>
      <c r="C12" s="4">
        <f>C9-SUM(C10,C11)</f>
        <v>9000</v>
      </c>
      <c r="D12" s="4">
        <f>D9-SUM(D10,D11)</f>
        <v>10125</v>
      </c>
      <c r="E12" s="4">
        <f>E9-SUM(E10,E11)</f>
        <v>18287.500000000004</v>
      </c>
      <c r="F12" s="4">
        <f t="shared" ref="F12:I12" si="8">F9-SUM(F10,F11)</f>
        <v>20391.250000000007</v>
      </c>
      <c r="G12" s="4">
        <f t="shared" si="8"/>
        <v>22705.375000000011</v>
      </c>
      <c r="H12" s="4">
        <f t="shared" si="8"/>
        <v>25250.912500000013</v>
      </c>
      <c r="I12" s="4">
        <f t="shared" si="8"/>
        <v>28051.003750000018</v>
      </c>
    </row>
    <row r="13" spans="2:9" outlineLevel="2" x14ac:dyDescent="0.3">
      <c r="B13" t="s">
        <v>10</v>
      </c>
      <c r="C13" s="3">
        <v>2700</v>
      </c>
      <c r="D13" s="3">
        <v>3037.5</v>
      </c>
      <c r="E13" s="21">
        <f>E12*E22</f>
        <v>5486.2500000000009</v>
      </c>
      <c r="F13" s="21">
        <f t="shared" ref="F13:I13" si="9">F12*F22</f>
        <v>6117.3750000000018</v>
      </c>
      <c r="G13" s="21">
        <f t="shared" si="9"/>
        <v>6811.6125000000029</v>
      </c>
      <c r="H13" s="21">
        <f t="shared" si="9"/>
        <v>7575.2737500000039</v>
      </c>
      <c r="I13" s="21">
        <f t="shared" si="9"/>
        <v>8415.3011250000054</v>
      </c>
    </row>
    <row r="14" spans="2:9" ht="15" outlineLevel="2" thickBot="1" x14ac:dyDescent="0.35">
      <c r="B14" s="15" t="s">
        <v>11</v>
      </c>
      <c r="C14" s="16">
        <f>C12-C13</f>
        <v>6300</v>
      </c>
      <c r="D14" s="16">
        <f>D12-D13</f>
        <v>7087.5</v>
      </c>
      <c r="E14" s="16">
        <f>E12-E13</f>
        <v>12801.250000000004</v>
      </c>
      <c r="F14" s="16">
        <f t="shared" ref="F14:I14" si="10">F12-F13</f>
        <v>14273.875000000005</v>
      </c>
      <c r="G14" s="16">
        <f t="shared" si="10"/>
        <v>15893.762500000008</v>
      </c>
      <c r="H14" s="16">
        <f t="shared" si="10"/>
        <v>17675.638750000009</v>
      </c>
      <c r="I14" s="16">
        <f t="shared" si="10"/>
        <v>19635.702625000013</v>
      </c>
    </row>
    <row r="15" spans="2:9" ht="15" thickTop="1" x14ac:dyDescent="0.3">
      <c r="C15" s="21"/>
      <c r="D15" s="21"/>
      <c r="E15" s="21"/>
      <c r="F15" s="21"/>
      <c r="G15" s="21"/>
      <c r="H15" s="21"/>
      <c r="I15" s="21"/>
    </row>
    <row r="16" spans="2:9" x14ac:dyDescent="0.3">
      <c r="B16" s="7" t="s">
        <v>12</v>
      </c>
      <c r="C16" s="22"/>
      <c r="D16" s="22"/>
      <c r="E16" s="22"/>
      <c r="F16" s="22"/>
      <c r="G16" s="22"/>
      <c r="H16" s="22"/>
      <c r="I16" s="22"/>
    </row>
    <row r="17" spans="2:9" hidden="1" outlineLevel="1" x14ac:dyDescent="0.3">
      <c r="B17" s="9" t="s">
        <v>13</v>
      </c>
      <c r="C17" s="23">
        <f>0</f>
        <v>0</v>
      </c>
      <c r="D17" s="24">
        <f>(D5-C5)/C5</f>
        <v>0.125</v>
      </c>
      <c r="E17" s="25">
        <f>10/100</f>
        <v>0.1</v>
      </c>
      <c r="F17" s="26">
        <f>E17</f>
        <v>0.1</v>
      </c>
      <c r="G17" s="26">
        <f t="shared" ref="G17:I18" si="11">F17</f>
        <v>0.1</v>
      </c>
      <c r="H17" s="26">
        <f t="shared" si="11"/>
        <v>0.1</v>
      </c>
      <c r="I17" s="26">
        <f t="shared" si="11"/>
        <v>0.1</v>
      </c>
    </row>
    <row r="18" spans="2:9" hidden="1" outlineLevel="1" x14ac:dyDescent="0.3">
      <c r="B18" s="9" t="s">
        <v>14</v>
      </c>
      <c r="C18" s="23">
        <f>C6/C5</f>
        <v>0.4</v>
      </c>
      <c r="D18" s="23">
        <f>D6/D5</f>
        <v>0.4</v>
      </c>
      <c r="E18" s="25">
        <f>10/100</f>
        <v>0.1</v>
      </c>
      <c r="F18" s="26">
        <f>E18</f>
        <v>0.1</v>
      </c>
      <c r="G18" s="26">
        <f t="shared" si="11"/>
        <v>0.1</v>
      </c>
      <c r="H18" s="26">
        <f t="shared" si="11"/>
        <v>0.1</v>
      </c>
      <c r="I18" s="26">
        <f t="shared" si="11"/>
        <v>0.1</v>
      </c>
    </row>
    <row r="19" spans="2:9" hidden="1" outlineLevel="1" x14ac:dyDescent="0.3">
      <c r="B19" s="9" t="s">
        <v>15</v>
      </c>
      <c r="C19" s="6">
        <f>C8</f>
        <v>2000</v>
      </c>
      <c r="D19" s="6">
        <f>D8</f>
        <v>2250</v>
      </c>
      <c r="E19" s="27">
        <f>2500</f>
        <v>2500</v>
      </c>
      <c r="F19" s="19">
        <f>E19</f>
        <v>2500</v>
      </c>
      <c r="G19" s="19">
        <f t="shared" ref="G19:I19" si="12">F19</f>
        <v>2500</v>
      </c>
      <c r="H19" s="19">
        <f t="shared" si="12"/>
        <v>2500</v>
      </c>
      <c r="I19" s="19">
        <f t="shared" si="12"/>
        <v>2500</v>
      </c>
    </row>
    <row r="20" spans="2:9" hidden="1" outlineLevel="1" x14ac:dyDescent="0.3">
      <c r="B20" s="9" t="s">
        <v>16</v>
      </c>
      <c r="C20" s="23">
        <f>C10/C5</f>
        <v>0.04</v>
      </c>
      <c r="D20" s="23">
        <f>D10/D5</f>
        <v>0.04</v>
      </c>
      <c r="E20" s="25">
        <f>5/100</f>
        <v>0.05</v>
      </c>
      <c r="F20" s="26">
        <f>E20</f>
        <v>0.05</v>
      </c>
      <c r="G20" s="26">
        <f t="shared" ref="G20:I21" si="13">F20</f>
        <v>0.05</v>
      </c>
      <c r="H20" s="26">
        <f t="shared" si="13"/>
        <v>0.05</v>
      </c>
      <c r="I20" s="26">
        <f t="shared" si="13"/>
        <v>0.05</v>
      </c>
    </row>
    <row r="21" spans="2:9" hidden="1" outlineLevel="1" x14ac:dyDescent="0.3">
      <c r="B21" s="10" t="s">
        <v>8</v>
      </c>
      <c r="C21" s="6">
        <f>C11</f>
        <v>200</v>
      </c>
      <c r="D21" s="6">
        <f>D11</f>
        <v>225</v>
      </c>
      <c r="E21" s="27">
        <f>250</f>
        <v>250</v>
      </c>
      <c r="F21" s="19">
        <f>E21</f>
        <v>250</v>
      </c>
      <c r="G21" s="19">
        <f t="shared" si="13"/>
        <v>250</v>
      </c>
      <c r="H21" s="19">
        <f t="shared" si="13"/>
        <v>250</v>
      </c>
      <c r="I21" s="19">
        <f t="shared" si="13"/>
        <v>250</v>
      </c>
    </row>
    <row r="22" spans="2:9" hidden="1" outlineLevel="1" x14ac:dyDescent="0.3">
      <c r="B22" s="10" t="s">
        <v>10</v>
      </c>
      <c r="C22" s="23">
        <f>C13/C12</f>
        <v>0.3</v>
      </c>
      <c r="D22" s="23">
        <f>D13/D12</f>
        <v>0.3</v>
      </c>
      <c r="E22" s="25">
        <f>30/100</f>
        <v>0.3</v>
      </c>
      <c r="F22" s="26">
        <f t="shared" ref="F22:I22" si="14">E22</f>
        <v>0.3</v>
      </c>
      <c r="G22" s="26">
        <f t="shared" si="14"/>
        <v>0.3</v>
      </c>
      <c r="H22" s="26">
        <f t="shared" si="14"/>
        <v>0.3</v>
      </c>
      <c r="I22" s="26">
        <f t="shared" si="14"/>
        <v>0.3</v>
      </c>
    </row>
    <row r="23" spans="2:9" collapsed="1" x14ac:dyDescent="0.3"/>
  </sheetData>
  <pageMargins left="0.7" right="0.7" top="0.75" bottom="0.75" header="0.3" footer="0.3"/>
  <ignoredErrors>
    <ignoredError sqref="E8:F8 G8:I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E808-03BA-445C-9797-9735FB1E7E2F}">
  <dimension ref="B1:I48"/>
  <sheetViews>
    <sheetView workbookViewId="0">
      <selection activeCell="B62" sqref="B62"/>
    </sheetView>
  </sheetViews>
  <sheetFormatPr defaultRowHeight="14.4" outlineLevelRow="2" x14ac:dyDescent="0.3"/>
  <cols>
    <col min="2" max="2" width="38.109375" customWidth="1"/>
  </cols>
  <sheetData>
    <row r="1" spans="2:9" x14ac:dyDescent="0.3">
      <c r="B1" t="s">
        <v>18</v>
      </c>
    </row>
    <row r="2" spans="2:9" x14ac:dyDescent="0.3">
      <c r="B2" s="28" t="s">
        <v>17</v>
      </c>
      <c r="C2" s="29">
        <f>2020</f>
        <v>2020</v>
      </c>
      <c r="D2" s="29">
        <f>C2+1</f>
        <v>2021</v>
      </c>
      <c r="E2" s="30">
        <f t="shared" ref="E2:F2" si="0">D2+1</f>
        <v>2022</v>
      </c>
      <c r="F2" s="30">
        <f t="shared" si="0"/>
        <v>2023</v>
      </c>
      <c r="G2" s="30">
        <f>F2+1</f>
        <v>2024</v>
      </c>
      <c r="H2" s="30">
        <f>G2+1</f>
        <v>2025</v>
      </c>
      <c r="I2" s="30">
        <f t="shared" ref="I2" si="1">H2+1</f>
        <v>2026</v>
      </c>
    </row>
    <row r="4" spans="2:9" x14ac:dyDescent="0.3">
      <c r="B4" s="7" t="str">
        <f>"Income Statement - "&amp;B1</f>
        <v xml:space="preserve">Income Statement - Tata Steels </v>
      </c>
      <c r="C4" s="8"/>
      <c r="D4" s="8"/>
      <c r="E4" s="8"/>
      <c r="F4" s="8"/>
      <c r="G4" s="8"/>
      <c r="H4" s="8"/>
      <c r="I4" s="8"/>
    </row>
    <row r="5" spans="2:9" hidden="1" outlineLevel="1" x14ac:dyDescent="0.3">
      <c r="B5" t="s">
        <v>2</v>
      </c>
      <c r="C5" s="5">
        <v>20000</v>
      </c>
      <c r="D5" s="5">
        <v>22500</v>
      </c>
      <c r="E5" s="19">
        <f>D5*(1+E17)</f>
        <v>24750.000000000004</v>
      </c>
      <c r="F5" s="19">
        <f t="shared" ref="F5:I5" si="2">E5*(1+F17)</f>
        <v>27225.000000000007</v>
      </c>
      <c r="G5" s="19">
        <f t="shared" si="2"/>
        <v>29947.500000000011</v>
      </c>
      <c r="H5" s="19">
        <f t="shared" si="2"/>
        <v>32942.250000000015</v>
      </c>
      <c r="I5" s="19">
        <f t="shared" si="2"/>
        <v>36236.47500000002</v>
      </c>
    </row>
    <row r="6" spans="2:9" hidden="1" outlineLevel="1" x14ac:dyDescent="0.3">
      <c r="B6" s="12" t="s">
        <v>3</v>
      </c>
      <c r="C6" s="13">
        <v>8000</v>
      </c>
      <c r="D6" s="13">
        <v>9000</v>
      </c>
      <c r="E6" s="20">
        <f>E5*E18</f>
        <v>2475.0000000000005</v>
      </c>
      <c r="F6" s="20">
        <f t="shared" ref="F6:I6" si="3">F5*F18</f>
        <v>2722.5000000000009</v>
      </c>
      <c r="G6" s="20">
        <f t="shared" si="3"/>
        <v>2994.7500000000014</v>
      </c>
      <c r="H6" s="20">
        <f t="shared" si="3"/>
        <v>3294.2250000000017</v>
      </c>
      <c r="I6" s="20">
        <f t="shared" si="3"/>
        <v>3623.6475000000023</v>
      </c>
    </row>
    <row r="7" spans="2:9" hidden="1" outlineLevel="1" x14ac:dyDescent="0.3">
      <c r="B7" t="s">
        <v>4</v>
      </c>
      <c r="C7" s="6">
        <f>C5-C6</f>
        <v>12000</v>
      </c>
      <c r="D7" s="6">
        <f>D5-D6</f>
        <v>13500</v>
      </c>
      <c r="E7" s="6">
        <f>E5-E6</f>
        <v>22275.000000000004</v>
      </c>
      <c r="F7" s="6">
        <f t="shared" ref="F7:I7" si="4">F5-F6</f>
        <v>24502.500000000007</v>
      </c>
      <c r="G7" s="6">
        <f t="shared" si="4"/>
        <v>26952.750000000011</v>
      </c>
      <c r="H7" s="6">
        <f t="shared" si="4"/>
        <v>29648.025000000012</v>
      </c>
      <c r="I7" s="6">
        <f t="shared" si="4"/>
        <v>32612.827500000018</v>
      </c>
    </row>
    <row r="8" spans="2:9" hidden="1" outlineLevel="1" x14ac:dyDescent="0.3">
      <c r="B8" s="12" t="s">
        <v>5</v>
      </c>
      <c r="C8" s="14">
        <v>2000</v>
      </c>
      <c r="D8" s="14">
        <v>2250</v>
      </c>
      <c r="E8" s="20">
        <f>E19</f>
        <v>2500</v>
      </c>
      <c r="F8" s="20">
        <f t="shared" ref="F8:I8" si="5">F19</f>
        <v>2500</v>
      </c>
      <c r="G8" s="20">
        <f t="shared" si="5"/>
        <v>2500</v>
      </c>
      <c r="H8" s="20">
        <f t="shared" si="5"/>
        <v>2500</v>
      </c>
      <c r="I8" s="20">
        <f t="shared" si="5"/>
        <v>2500</v>
      </c>
    </row>
    <row r="9" spans="2:9" hidden="1" outlineLevel="1" x14ac:dyDescent="0.3">
      <c r="B9" t="s">
        <v>6</v>
      </c>
      <c r="C9" s="4">
        <f>C7-C8</f>
        <v>10000</v>
      </c>
      <c r="D9" s="4">
        <f>D7-D8</f>
        <v>11250</v>
      </c>
      <c r="E9" s="4">
        <f>E7-E8</f>
        <v>19775.000000000004</v>
      </c>
      <c r="F9" s="4">
        <f t="shared" ref="F9:I9" si="6">F7-F8</f>
        <v>22002.500000000007</v>
      </c>
      <c r="G9" s="4">
        <f t="shared" si="6"/>
        <v>24452.750000000011</v>
      </c>
      <c r="H9" s="4">
        <f t="shared" si="6"/>
        <v>27148.025000000012</v>
      </c>
      <c r="I9" s="4">
        <f t="shared" si="6"/>
        <v>30112.827500000018</v>
      </c>
    </row>
    <row r="10" spans="2:9" hidden="1" outlineLevel="1" x14ac:dyDescent="0.3">
      <c r="B10" t="s">
        <v>7</v>
      </c>
      <c r="C10" s="3">
        <v>800</v>
      </c>
      <c r="D10" s="3">
        <v>900</v>
      </c>
      <c r="E10" s="21">
        <f>E5*E20</f>
        <v>1237.5000000000002</v>
      </c>
      <c r="F10" s="21">
        <f t="shared" ref="F10:I10" si="7">F5*F20</f>
        <v>1361.2500000000005</v>
      </c>
      <c r="G10" s="21">
        <f t="shared" si="7"/>
        <v>1497.3750000000007</v>
      </c>
      <c r="H10" s="21">
        <f t="shared" si="7"/>
        <v>1647.1125000000009</v>
      </c>
      <c r="I10" s="21">
        <f t="shared" si="7"/>
        <v>1811.8237500000012</v>
      </c>
    </row>
    <row r="11" spans="2:9" hidden="1" outlineLevel="1" x14ac:dyDescent="0.3">
      <c r="B11" s="12" t="s">
        <v>8</v>
      </c>
      <c r="C11" s="14">
        <v>200</v>
      </c>
      <c r="D11" s="14">
        <v>225</v>
      </c>
      <c r="E11" s="20">
        <f>E21</f>
        <v>250</v>
      </c>
      <c r="F11" s="20">
        <f t="shared" ref="F11:I11" si="8">F21</f>
        <v>250</v>
      </c>
      <c r="G11" s="20">
        <f t="shared" si="8"/>
        <v>250</v>
      </c>
      <c r="H11" s="20">
        <f t="shared" si="8"/>
        <v>250</v>
      </c>
      <c r="I11" s="20">
        <f t="shared" si="8"/>
        <v>250</v>
      </c>
    </row>
    <row r="12" spans="2:9" hidden="1" outlineLevel="1" x14ac:dyDescent="0.3">
      <c r="B12" t="s">
        <v>9</v>
      </c>
      <c r="C12" s="4">
        <f>C9-SUM(C10,C11)</f>
        <v>9000</v>
      </c>
      <c r="D12" s="4">
        <f>D9-SUM(D10,D11)</f>
        <v>10125</v>
      </c>
      <c r="E12" s="4">
        <f>E9-SUM(E10,E11)</f>
        <v>18287.500000000004</v>
      </c>
      <c r="F12" s="4">
        <f t="shared" ref="F12:I12" si="9">F9-SUM(F10,F11)</f>
        <v>20391.250000000007</v>
      </c>
      <c r="G12" s="4">
        <f t="shared" si="9"/>
        <v>22705.375000000011</v>
      </c>
      <c r="H12" s="4">
        <f t="shared" si="9"/>
        <v>25250.912500000013</v>
      </c>
      <c r="I12" s="4">
        <f t="shared" si="9"/>
        <v>28051.003750000018</v>
      </c>
    </row>
    <row r="13" spans="2:9" hidden="1" outlineLevel="1" x14ac:dyDescent="0.3">
      <c r="B13" t="s">
        <v>10</v>
      </c>
      <c r="C13" s="3">
        <v>2700</v>
      </c>
      <c r="D13" s="3">
        <v>3037.5</v>
      </c>
      <c r="E13" s="21">
        <f>E12*E22</f>
        <v>5486.2500000000009</v>
      </c>
      <c r="F13" s="21">
        <f t="shared" ref="F13:I13" si="10">F12*F22</f>
        <v>6117.3750000000018</v>
      </c>
      <c r="G13" s="21">
        <f t="shared" si="10"/>
        <v>6811.6125000000029</v>
      </c>
      <c r="H13" s="21">
        <f t="shared" si="10"/>
        <v>7575.2737500000039</v>
      </c>
      <c r="I13" s="21">
        <f t="shared" si="10"/>
        <v>8415.3011250000054</v>
      </c>
    </row>
    <row r="14" spans="2:9" ht="15" hidden="1" outlineLevel="1" thickBot="1" x14ac:dyDescent="0.35">
      <c r="B14" s="15" t="s">
        <v>11</v>
      </c>
      <c r="C14" s="16">
        <f>C12-C13</f>
        <v>6300</v>
      </c>
      <c r="D14" s="16">
        <f>D12-D13</f>
        <v>7087.5</v>
      </c>
      <c r="E14" s="16">
        <f>E12-E13</f>
        <v>12801.250000000004</v>
      </c>
      <c r="F14" s="16">
        <f t="shared" ref="F14:I14" si="11">F12-F13</f>
        <v>14273.875000000005</v>
      </c>
      <c r="G14" s="16">
        <f t="shared" si="11"/>
        <v>15893.762500000008</v>
      </c>
      <c r="H14" s="16">
        <f t="shared" si="11"/>
        <v>17675.638750000009</v>
      </c>
      <c r="I14" s="16">
        <f t="shared" si="11"/>
        <v>19635.702625000013</v>
      </c>
    </row>
    <row r="15" spans="2:9" collapsed="1" x14ac:dyDescent="0.3"/>
    <row r="16" spans="2:9" x14ac:dyDescent="0.3">
      <c r="B16" s="7" t="str">
        <f>"Assumption Drivers - "&amp;B1</f>
        <v xml:space="preserve">Assumption Drivers - Tata Steels </v>
      </c>
      <c r="C16" s="7"/>
      <c r="D16" s="7"/>
      <c r="E16" s="7"/>
      <c r="F16" s="7"/>
      <c r="G16" s="7"/>
      <c r="H16" s="7"/>
      <c r="I16" s="7"/>
    </row>
    <row r="17" spans="2:9" hidden="1" outlineLevel="1" x14ac:dyDescent="0.3">
      <c r="B17" s="9" t="s">
        <v>13</v>
      </c>
      <c r="C17" s="23">
        <f>0</f>
        <v>0</v>
      </c>
      <c r="D17" s="24">
        <f>(D5-C5)/C5</f>
        <v>0.125</v>
      </c>
      <c r="E17" s="25">
        <f>10/100</f>
        <v>0.1</v>
      </c>
      <c r="F17" s="26">
        <f>E17</f>
        <v>0.1</v>
      </c>
      <c r="G17" s="26">
        <f t="shared" ref="G17:I21" si="12">F17</f>
        <v>0.1</v>
      </c>
      <c r="H17" s="26">
        <f t="shared" si="12"/>
        <v>0.1</v>
      </c>
      <c r="I17" s="26">
        <f t="shared" si="12"/>
        <v>0.1</v>
      </c>
    </row>
    <row r="18" spans="2:9" hidden="1" outlineLevel="1" x14ac:dyDescent="0.3">
      <c r="B18" s="9" t="s">
        <v>14</v>
      </c>
      <c r="C18" s="23">
        <f>C6/C5</f>
        <v>0.4</v>
      </c>
      <c r="D18" s="23">
        <f>D6/D5</f>
        <v>0.4</v>
      </c>
      <c r="E18" s="25">
        <f>10/100</f>
        <v>0.1</v>
      </c>
      <c r="F18" s="26">
        <f>E18</f>
        <v>0.1</v>
      </c>
      <c r="G18" s="26">
        <f t="shared" si="12"/>
        <v>0.1</v>
      </c>
      <c r="H18" s="26">
        <f t="shared" si="12"/>
        <v>0.1</v>
      </c>
      <c r="I18" s="26">
        <f t="shared" si="12"/>
        <v>0.1</v>
      </c>
    </row>
    <row r="19" spans="2:9" hidden="1" outlineLevel="1" x14ac:dyDescent="0.3">
      <c r="B19" s="9" t="s">
        <v>15</v>
      </c>
      <c r="C19" s="6">
        <f>C8</f>
        <v>2000</v>
      </c>
      <c r="D19" s="6">
        <f>D8</f>
        <v>2250</v>
      </c>
      <c r="E19" s="27">
        <f>2500</f>
        <v>2500</v>
      </c>
      <c r="F19" s="19">
        <f>E19</f>
        <v>2500</v>
      </c>
      <c r="G19" s="19">
        <f t="shared" si="12"/>
        <v>2500</v>
      </c>
      <c r="H19" s="19">
        <f t="shared" si="12"/>
        <v>2500</v>
      </c>
      <c r="I19" s="19">
        <f t="shared" si="12"/>
        <v>2500</v>
      </c>
    </row>
    <row r="20" spans="2:9" hidden="1" outlineLevel="1" x14ac:dyDescent="0.3">
      <c r="B20" s="9" t="s">
        <v>16</v>
      </c>
      <c r="C20" s="23">
        <f>C10/C5</f>
        <v>0.04</v>
      </c>
      <c r="D20" s="23">
        <f>D10/D5</f>
        <v>0.04</v>
      </c>
      <c r="E20" s="25">
        <f>5/100</f>
        <v>0.05</v>
      </c>
      <c r="F20" s="26">
        <f>E20</f>
        <v>0.05</v>
      </c>
      <c r="G20" s="26">
        <f t="shared" si="12"/>
        <v>0.05</v>
      </c>
      <c r="H20" s="26">
        <f t="shared" si="12"/>
        <v>0.05</v>
      </c>
      <c r="I20" s="26">
        <f t="shared" si="12"/>
        <v>0.05</v>
      </c>
    </row>
    <row r="21" spans="2:9" hidden="1" outlineLevel="1" x14ac:dyDescent="0.3">
      <c r="B21" s="10" t="s">
        <v>8</v>
      </c>
      <c r="C21" s="6">
        <f>C11</f>
        <v>200</v>
      </c>
      <c r="D21" s="6">
        <f>D11</f>
        <v>225</v>
      </c>
      <c r="E21" s="27">
        <f>250</f>
        <v>250</v>
      </c>
      <c r="F21" s="19">
        <f>E21</f>
        <v>250</v>
      </c>
      <c r="G21" s="19">
        <f t="shared" si="12"/>
        <v>250</v>
      </c>
      <c r="H21" s="19">
        <f t="shared" si="12"/>
        <v>250</v>
      </c>
      <c r="I21" s="19">
        <f t="shared" si="12"/>
        <v>250</v>
      </c>
    </row>
    <row r="22" spans="2:9" hidden="1" outlineLevel="1" x14ac:dyDescent="0.3">
      <c r="B22" s="10" t="s">
        <v>10</v>
      </c>
      <c r="C22" s="23">
        <f>C13/C12</f>
        <v>0.3</v>
      </c>
      <c r="D22" s="23">
        <f>D13/D12</f>
        <v>0.3</v>
      </c>
      <c r="E22" s="25">
        <f>30/100</f>
        <v>0.3</v>
      </c>
      <c r="F22" s="26">
        <f t="shared" ref="F22:I22" si="13">E22</f>
        <v>0.3</v>
      </c>
      <c r="G22" s="26">
        <f t="shared" si="13"/>
        <v>0.3</v>
      </c>
      <c r="H22" s="26">
        <f t="shared" si="13"/>
        <v>0.3</v>
      </c>
      <c r="I22" s="26">
        <f t="shared" si="13"/>
        <v>0.3</v>
      </c>
    </row>
    <row r="23" spans="2:9" collapsed="1" x14ac:dyDescent="0.3"/>
    <row r="24" spans="2:9" ht="13.8" customHeight="1" x14ac:dyDescent="0.3">
      <c r="B24" s="7" t="str">
        <f>"Common Size Statement - "&amp;B1</f>
        <v xml:space="preserve">Common Size Statement - Tata Steels </v>
      </c>
      <c r="C24" s="7"/>
      <c r="D24" s="7"/>
      <c r="E24" s="7"/>
      <c r="F24" s="7"/>
      <c r="G24" s="7"/>
      <c r="H24" s="7"/>
      <c r="I24" s="7"/>
    </row>
    <row r="25" spans="2:9" hidden="1" outlineLevel="2" x14ac:dyDescent="0.3">
      <c r="B25" s="10" t="s">
        <v>2</v>
      </c>
      <c r="C25" s="31">
        <f>C5/C$5</f>
        <v>1</v>
      </c>
      <c r="D25" s="31">
        <f t="shared" ref="D25:I25" si="14">D5/D$5</f>
        <v>1</v>
      </c>
      <c r="E25" s="31">
        <f t="shared" si="14"/>
        <v>1</v>
      </c>
      <c r="F25" s="31">
        <f t="shared" si="14"/>
        <v>1</v>
      </c>
      <c r="G25" s="31">
        <f t="shared" si="14"/>
        <v>1</v>
      </c>
      <c r="H25" s="31">
        <f t="shared" si="14"/>
        <v>1</v>
      </c>
      <c r="I25" s="31">
        <f t="shared" si="14"/>
        <v>1</v>
      </c>
    </row>
    <row r="26" spans="2:9" hidden="1" outlineLevel="2" x14ac:dyDescent="0.3">
      <c r="B26" s="10" t="s">
        <v>3</v>
      </c>
      <c r="C26" s="31">
        <f t="shared" ref="C26:I26" si="15">C6/C$5</f>
        <v>0.4</v>
      </c>
      <c r="D26" s="31">
        <f t="shared" si="15"/>
        <v>0.4</v>
      </c>
      <c r="E26" s="31">
        <f t="shared" si="15"/>
        <v>0.1</v>
      </c>
      <c r="F26" s="31">
        <f t="shared" si="15"/>
        <v>0.1</v>
      </c>
      <c r="G26" s="31">
        <f t="shared" si="15"/>
        <v>0.1</v>
      </c>
      <c r="H26" s="31">
        <f t="shared" si="15"/>
        <v>0.1</v>
      </c>
      <c r="I26" s="31">
        <f t="shared" si="15"/>
        <v>0.1</v>
      </c>
    </row>
    <row r="27" spans="2:9" hidden="1" outlineLevel="2" x14ac:dyDescent="0.3">
      <c r="B27" s="10" t="s">
        <v>4</v>
      </c>
      <c r="C27" s="31">
        <f t="shared" ref="C27:I27" si="16">C7/C$5</f>
        <v>0.6</v>
      </c>
      <c r="D27" s="31">
        <f t="shared" si="16"/>
        <v>0.6</v>
      </c>
      <c r="E27" s="31">
        <f t="shared" si="16"/>
        <v>0.9</v>
      </c>
      <c r="F27" s="31">
        <f t="shared" si="16"/>
        <v>0.9</v>
      </c>
      <c r="G27" s="31">
        <f t="shared" si="16"/>
        <v>0.9</v>
      </c>
      <c r="H27" s="31">
        <f t="shared" si="16"/>
        <v>0.9</v>
      </c>
      <c r="I27" s="31">
        <f t="shared" si="16"/>
        <v>0.9</v>
      </c>
    </row>
    <row r="28" spans="2:9" hidden="1" outlineLevel="2" x14ac:dyDescent="0.3">
      <c r="B28" s="9" t="s">
        <v>19</v>
      </c>
      <c r="C28" s="31">
        <f t="shared" ref="C28:I28" si="17">C8/C$5</f>
        <v>0.1</v>
      </c>
      <c r="D28" s="31">
        <f t="shared" si="17"/>
        <v>0.1</v>
      </c>
      <c r="E28" s="31">
        <f t="shared" si="17"/>
        <v>0.10101010101010099</v>
      </c>
      <c r="F28" s="31">
        <f t="shared" si="17"/>
        <v>9.1827364554637261E-2</v>
      </c>
      <c r="G28" s="31">
        <f t="shared" si="17"/>
        <v>8.3479422322397495E-2</v>
      </c>
      <c r="H28" s="31">
        <f t="shared" si="17"/>
        <v>7.5890383929452271E-2</v>
      </c>
      <c r="I28" s="31">
        <f t="shared" si="17"/>
        <v>6.8991258117683876E-2</v>
      </c>
    </row>
    <row r="29" spans="2:9" hidden="1" outlineLevel="2" x14ac:dyDescent="0.3">
      <c r="B29" s="10" t="s">
        <v>20</v>
      </c>
      <c r="C29" s="31">
        <f t="shared" ref="C29:I29" si="18">C9/C$5</f>
        <v>0.5</v>
      </c>
      <c r="D29" s="31">
        <f t="shared" si="18"/>
        <v>0.5</v>
      </c>
      <c r="E29" s="31">
        <f t="shared" si="18"/>
        <v>0.79898989898989903</v>
      </c>
      <c r="F29" s="31">
        <f t="shared" si="18"/>
        <v>0.80817263544536277</v>
      </c>
      <c r="G29" s="31">
        <f t="shared" si="18"/>
        <v>0.81652057767760255</v>
      </c>
      <c r="H29" s="31">
        <f t="shared" si="18"/>
        <v>0.82410961607054767</v>
      </c>
      <c r="I29" s="31">
        <f t="shared" si="18"/>
        <v>0.8310087418823161</v>
      </c>
    </row>
    <row r="30" spans="2:9" hidden="1" outlineLevel="2" x14ac:dyDescent="0.3">
      <c r="B30" s="10" t="s">
        <v>21</v>
      </c>
      <c r="C30" s="31">
        <f t="shared" ref="C30:I30" si="19">C10/C$5</f>
        <v>0.04</v>
      </c>
      <c r="D30" s="31">
        <f t="shared" si="19"/>
        <v>0.04</v>
      </c>
      <c r="E30" s="31">
        <f t="shared" si="19"/>
        <v>0.05</v>
      </c>
      <c r="F30" s="31">
        <f t="shared" si="19"/>
        <v>0.05</v>
      </c>
      <c r="G30" s="31">
        <f t="shared" si="19"/>
        <v>0.05</v>
      </c>
      <c r="H30" s="31">
        <f t="shared" si="19"/>
        <v>0.05</v>
      </c>
      <c r="I30" s="31">
        <f t="shared" si="19"/>
        <v>0.05</v>
      </c>
    </row>
    <row r="31" spans="2:9" hidden="1" outlineLevel="2" x14ac:dyDescent="0.3">
      <c r="B31" s="10" t="s">
        <v>8</v>
      </c>
      <c r="C31" s="31">
        <f t="shared" ref="C31:I31" si="20">C11/C$5</f>
        <v>0.01</v>
      </c>
      <c r="D31" s="31">
        <f t="shared" si="20"/>
        <v>0.01</v>
      </c>
      <c r="E31" s="31">
        <f t="shared" si="20"/>
        <v>1.01010101010101E-2</v>
      </c>
      <c r="F31" s="31">
        <f t="shared" si="20"/>
        <v>9.1827364554637261E-3</v>
      </c>
      <c r="G31" s="31">
        <f t="shared" si="20"/>
        <v>8.3479422322397506E-3</v>
      </c>
      <c r="H31" s="31">
        <f t="shared" si="20"/>
        <v>7.5890383929452269E-3</v>
      </c>
      <c r="I31" s="31">
        <f t="shared" si="20"/>
        <v>6.8991258117683868E-3</v>
      </c>
    </row>
    <row r="32" spans="2:9" hidden="1" outlineLevel="2" x14ac:dyDescent="0.3">
      <c r="B32" s="10" t="s">
        <v>9</v>
      </c>
      <c r="C32" s="31">
        <f t="shared" ref="C32:I32" si="21">C12/C$5</f>
        <v>0.45</v>
      </c>
      <c r="D32" s="31">
        <f t="shared" si="21"/>
        <v>0.45</v>
      </c>
      <c r="E32" s="31">
        <f t="shared" si="21"/>
        <v>0.73888888888888893</v>
      </c>
      <c r="F32" s="31">
        <f t="shared" si="21"/>
        <v>0.74898989898989909</v>
      </c>
      <c r="G32" s="31">
        <f t="shared" si="21"/>
        <v>0.75817263544536284</v>
      </c>
      <c r="H32" s="31">
        <f t="shared" si="21"/>
        <v>0.76652057767760251</v>
      </c>
      <c r="I32" s="31">
        <f t="shared" si="21"/>
        <v>0.77410961607054773</v>
      </c>
    </row>
    <row r="33" spans="2:9" hidden="1" outlineLevel="2" x14ac:dyDescent="0.3">
      <c r="B33" s="10" t="s">
        <v>10</v>
      </c>
      <c r="C33" s="31">
        <f t="shared" ref="C33:I33" si="22">C13/C$5</f>
        <v>0.13500000000000001</v>
      </c>
      <c r="D33" s="31">
        <f t="shared" si="22"/>
        <v>0.13500000000000001</v>
      </c>
      <c r="E33" s="31">
        <f t="shared" si="22"/>
        <v>0.22166666666666668</v>
      </c>
      <c r="F33" s="31">
        <f t="shared" si="22"/>
        <v>0.2246969696969697</v>
      </c>
      <c r="G33" s="31">
        <f t="shared" si="22"/>
        <v>0.22745179063360882</v>
      </c>
      <c r="H33" s="31">
        <f t="shared" si="22"/>
        <v>0.22995617330328075</v>
      </c>
      <c r="I33" s="31">
        <f t="shared" si="22"/>
        <v>0.23223288482116433</v>
      </c>
    </row>
    <row r="34" spans="2:9" hidden="1" outlineLevel="2" x14ac:dyDescent="0.3">
      <c r="B34" s="10" t="s">
        <v>11</v>
      </c>
      <c r="C34" s="31">
        <f t="shared" ref="C34:I34" si="23">C14/C$5</f>
        <v>0.315</v>
      </c>
      <c r="D34" s="31">
        <f t="shared" si="23"/>
        <v>0.315</v>
      </c>
      <c r="E34" s="31">
        <f t="shared" si="23"/>
        <v>0.51722222222222225</v>
      </c>
      <c r="F34" s="31">
        <f t="shared" si="23"/>
        <v>0.52429292929292937</v>
      </c>
      <c r="G34" s="31">
        <f t="shared" si="23"/>
        <v>0.53072084481175397</v>
      </c>
      <c r="H34" s="31">
        <f t="shared" si="23"/>
        <v>0.53656440437432174</v>
      </c>
      <c r="I34" s="31">
        <f t="shared" si="23"/>
        <v>0.5418767312493834</v>
      </c>
    </row>
    <row r="35" spans="2:9" collapsed="1" x14ac:dyDescent="0.3"/>
    <row r="36" spans="2:9" x14ac:dyDescent="0.3">
      <c r="B36" s="7" t="str">
        <f>"Change Analysis Statement - "&amp;B1</f>
        <v xml:space="preserve">Change Analysis Statement - Tata Steels </v>
      </c>
      <c r="C36" s="8"/>
      <c r="D36" s="8"/>
      <c r="E36" s="8"/>
      <c r="F36" s="8"/>
      <c r="G36" s="8"/>
      <c r="H36" s="8"/>
      <c r="I36" s="8"/>
    </row>
    <row r="37" spans="2:9" hidden="1" outlineLevel="1" x14ac:dyDescent="0.3">
      <c r="B37" s="32">
        <v>0.1</v>
      </c>
    </row>
    <row r="38" spans="2:9" hidden="1" outlineLevel="1" x14ac:dyDescent="0.3">
      <c r="B38" s="33" t="s">
        <v>2</v>
      </c>
      <c r="C38" s="10"/>
    </row>
    <row r="39" spans="2:9" ht="15" hidden="1" outlineLevel="1" thickBot="1" x14ac:dyDescent="0.35">
      <c r="B39" s="34" t="s">
        <v>3</v>
      </c>
      <c r="C39" s="34">
        <f>C5*(1+$B$37)</f>
        <v>22000</v>
      </c>
      <c r="D39" s="34">
        <f t="shared" ref="D39:I39" si="24">D5*(1+$B$37)</f>
        <v>24750.000000000004</v>
      </c>
      <c r="E39" s="34">
        <f t="shared" si="24"/>
        <v>27225.000000000007</v>
      </c>
      <c r="F39" s="34">
        <f t="shared" si="24"/>
        <v>29947.500000000011</v>
      </c>
      <c r="G39" s="34">
        <f t="shared" si="24"/>
        <v>32942.250000000015</v>
      </c>
      <c r="H39" s="34">
        <f t="shared" si="24"/>
        <v>36236.47500000002</v>
      </c>
      <c r="I39" s="34">
        <f t="shared" si="24"/>
        <v>39860.122500000027</v>
      </c>
    </row>
    <row r="40" spans="2:9" hidden="1" outlineLevel="1" x14ac:dyDescent="0.3">
      <c r="B40" s="10" t="s">
        <v>4</v>
      </c>
      <c r="C40" s="37">
        <f t="shared" ref="C40:I40" si="25">C6*(1+$B$37)</f>
        <v>8800</v>
      </c>
      <c r="D40" s="37">
        <f t="shared" si="25"/>
        <v>9900</v>
      </c>
      <c r="E40" s="37">
        <f t="shared" si="25"/>
        <v>2722.5000000000009</v>
      </c>
      <c r="F40" s="37">
        <f t="shared" si="25"/>
        <v>2994.7500000000014</v>
      </c>
      <c r="G40" s="37">
        <f t="shared" si="25"/>
        <v>3294.2250000000017</v>
      </c>
      <c r="H40" s="37">
        <f t="shared" si="25"/>
        <v>3623.6475000000023</v>
      </c>
      <c r="I40" s="37">
        <f t="shared" si="25"/>
        <v>3986.012250000003</v>
      </c>
    </row>
    <row r="41" spans="2:9" ht="15" hidden="1" outlineLevel="1" thickBot="1" x14ac:dyDescent="0.35">
      <c r="B41" s="35" t="s">
        <v>19</v>
      </c>
      <c r="C41" s="38">
        <f t="shared" ref="C41:I41" si="26">C7*(1+$B$37)</f>
        <v>13200.000000000002</v>
      </c>
      <c r="D41" s="38">
        <f t="shared" si="26"/>
        <v>14850.000000000002</v>
      </c>
      <c r="E41" s="38">
        <f t="shared" si="26"/>
        <v>24502.500000000007</v>
      </c>
      <c r="F41" s="38">
        <f t="shared" si="26"/>
        <v>26952.750000000011</v>
      </c>
      <c r="G41" s="38">
        <f t="shared" si="26"/>
        <v>29648.025000000016</v>
      </c>
      <c r="H41" s="38">
        <f t="shared" si="26"/>
        <v>32612.827500000018</v>
      </c>
      <c r="I41" s="38">
        <f t="shared" si="26"/>
        <v>35874.11025000002</v>
      </c>
    </row>
    <row r="42" spans="2:9" hidden="1" outlineLevel="1" x14ac:dyDescent="0.3">
      <c r="B42" s="10" t="s">
        <v>20</v>
      </c>
      <c r="C42" s="39">
        <f t="shared" ref="C42:I42" si="27">C8*(1+$B$37)</f>
        <v>2200</v>
      </c>
      <c r="D42" s="39">
        <f t="shared" si="27"/>
        <v>2475</v>
      </c>
      <c r="E42" s="39">
        <f t="shared" si="27"/>
        <v>2750</v>
      </c>
      <c r="F42" s="39">
        <f t="shared" si="27"/>
        <v>2750</v>
      </c>
      <c r="G42" s="39">
        <f t="shared" si="27"/>
        <v>2750</v>
      </c>
      <c r="H42" s="39">
        <f t="shared" si="27"/>
        <v>2750</v>
      </c>
      <c r="I42" s="39">
        <f t="shared" si="27"/>
        <v>2750</v>
      </c>
    </row>
    <row r="43" spans="2:9" hidden="1" outlineLevel="1" x14ac:dyDescent="0.3">
      <c r="B43" s="10" t="s">
        <v>21</v>
      </c>
      <c r="C43" s="10">
        <f t="shared" ref="C43:I43" si="28">C9*(1+$B$37)</f>
        <v>11000</v>
      </c>
      <c r="D43" s="10">
        <f t="shared" si="28"/>
        <v>12375.000000000002</v>
      </c>
      <c r="E43" s="10">
        <f t="shared" si="28"/>
        <v>21752.500000000007</v>
      </c>
      <c r="F43" s="10">
        <f t="shared" si="28"/>
        <v>24202.750000000011</v>
      </c>
      <c r="G43" s="10">
        <f t="shared" si="28"/>
        <v>26898.025000000012</v>
      </c>
      <c r="H43" s="10">
        <f t="shared" si="28"/>
        <v>29862.827500000018</v>
      </c>
      <c r="I43" s="10">
        <f t="shared" si="28"/>
        <v>33124.11025000002</v>
      </c>
    </row>
    <row r="44" spans="2:9" ht="15" hidden="1" outlineLevel="1" thickBot="1" x14ac:dyDescent="0.35">
      <c r="B44" s="34" t="s">
        <v>8</v>
      </c>
      <c r="C44" s="34">
        <f t="shared" ref="C44:I44" si="29">C10*(1+$B$37)</f>
        <v>880.00000000000011</v>
      </c>
      <c r="D44" s="34">
        <f t="shared" si="29"/>
        <v>990.00000000000011</v>
      </c>
      <c r="E44" s="34">
        <f t="shared" si="29"/>
        <v>1361.2500000000005</v>
      </c>
      <c r="F44" s="34">
        <f t="shared" si="29"/>
        <v>1497.3750000000007</v>
      </c>
      <c r="G44" s="34">
        <f t="shared" si="29"/>
        <v>1647.1125000000009</v>
      </c>
      <c r="H44" s="34">
        <f t="shared" si="29"/>
        <v>1811.8237500000012</v>
      </c>
      <c r="I44" s="34">
        <f t="shared" si="29"/>
        <v>1993.0061250000015</v>
      </c>
    </row>
    <row r="45" spans="2:9" hidden="1" outlineLevel="1" x14ac:dyDescent="0.3">
      <c r="B45" s="10" t="s">
        <v>9</v>
      </c>
      <c r="C45" s="37">
        <f t="shared" ref="C45:I45" si="30">C11*(1+$B$37)</f>
        <v>220.00000000000003</v>
      </c>
      <c r="D45" s="37">
        <f t="shared" si="30"/>
        <v>247.50000000000003</v>
      </c>
      <c r="E45" s="37">
        <f t="shared" si="30"/>
        <v>275</v>
      </c>
      <c r="F45" s="37">
        <f t="shared" si="30"/>
        <v>275</v>
      </c>
      <c r="G45" s="37">
        <f t="shared" si="30"/>
        <v>275</v>
      </c>
      <c r="H45" s="37">
        <f t="shared" si="30"/>
        <v>275</v>
      </c>
      <c r="I45" s="37">
        <f t="shared" si="30"/>
        <v>275</v>
      </c>
    </row>
    <row r="46" spans="2:9" ht="15" hidden="1" outlineLevel="1" thickBot="1" x14ac:dyDescent="0.35">
      <c r="B46" s="34" t="s">
        <v>10</v>
      </c>
      <c r="C46" s="34">
        <f t="shared" ref="C46:I46" si="31">C12*(1+$B$37)</f>
        <v>9900</v>
      </c>
      <c r="D46" s="34">
        <f t="shared" si="31"/>
        <v>11137.5</v>
      </c>
      <c r="E46" s="34">
        <f t="shared" si="31"/>
        <v>20116.250000000007</v>
      </c>
      <c r="F46" s="34">
        <f t="shared" si="31"/>
        <v>22430.375000000011</v>
      </c>
      <c r="G46" s="34">
        <f t="shared" si="31"/>
        <v>24975.912500000013</v>
      </c>
      <c r="H46" s="34">
        <f t="shared" si="31"/>
        <v>27776.003750000018</v>
      </c>
      <c r="I46" s="34">
        <f t="shared" si="31"/>
        <v>30856.104125000023</v>
      </c>
    </row>
    <row r="47" spans="2:9" ht="15" hidden="1" outlineLevel="1" thickBot="1" x14ac:dyDescent="0.35">
      <c r="B47" s="36" t="s">
        <v>11</v>
      </c>
      <c r="C47" s="40">
        <f t="shared" ref="C47:I47" si="32">C13*(1+$B$37)</f>
        <v>2970.0000000000005</v>
      </c>
      <c r="D47" s="40">
        <f t="shared" si="32"/>
        <v>3341.2500000000005</v>
      </c>
      <c r="E47" s="40">
        <f t="shared" si="32"/>
        <v>6034.8750000000018</v>
      </c>
      <c r="F47" s="40">
        <f t="shared" si="32"/>
        <v>6729.1125000000029</v>
      </c>
      <c r="G47" s="40">
        <f t="shared" si="32"/>
        <v>7492.7737500000039</v>
      </c>
      <c r="H47" s="40">
        <f t="shared" si="32"/>
        <v>8332.8011250000054</v>
      </c>
      <c r="I47" s="40">
        <f t="shared" si="32"/>
        <v>9256.831237500006</v>
      </c>
    </row>
    <row r="48" spans="2:9" collapsed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0852-514E-4030-9D70-0BCFC3038540}">
  <dimension ref="B2:U23"/>
  <sheetViews>
    <sheetView tabSelected="1" topLeftCell="A2" zoomScale="92" zoomScaleNormal="92" workbookViewId="0">
      <selection activeCell="M21" sqref="M21"/>
    </sheetView>
  </sheetViews>
  <sheetFormatPr defaultRowHeight="14.4" x14ac:dyDescent="0.3"/>
  <cols>
    <col min="2" max="2" width="21.109375" customWidth="1"/>
    <col min="12" max="12" width="25.5546875" customWidth="1"/>
  </cols>
  <sheetData>
    <row r="2" spans="2:21" ht="28.8" x14ac:dyDescent="0.3">
      <c r="B2" s="10" t="s">
        <v>22</v>
      </c>
      <c r="C2" s="41">
        <f>4%</f>
        <v>0.04</v>
      </c>
      <c r="F2" s="10"/>
      <c r="G2" s="10" t="s">
        <v>22</v>
      </c>
      <c r="H2" s="41">
        <f>4%</f>
        <v>0.04</v>
      </c>
      <c r="K2" s="10" t="s">
        <v>39</v>
      </c>
      <c r="L2" s="41">
        <v>0.25</v>
      </c>
      <c r="M2" s="10"/>
      <c r="N2" s="10"/>
      <c r="O2" s="10"/>
      <c r="P2" s="10"/>
      <c r="Q2" s="10"/>
    </row>
    <row r="3" spans="2:21" ht="28.8" x14ac:dyDescent="0.3">
      <c r="B3" s="10" t="s">
        <v>23</v>
      </c>
      <c r="C3" s="41">
        <f>10%</f>
        <v>0.1</v>
      </c>
      <c r="F3" s="10"/>
      <c r="G3" s="10" t="s">
        <v>23</v>
      </c>
      <c r="H3" s="41">
        <f>10%</f>
        <v>0.1</v>
      </c>
      <c r="K3" s="10" t="s">
        <v>40</v>
      </c>
      <c r="L3" s="43">
        <f>VLOOKUP(L2,K6:M9,3,TRUE)</f>
        <v>9.5000000000000001E-2</v>
      </c>
      <c r="M3" s="9" t="s">
        <v>46</v>
      </c>
      <c r="N3" s="10"/>
      <c r="O3" s="10"/>
      <c r="P3" s="10"/>
      <c r="Q3" s="10"/>
    </row>
    <row r="4" spans="2:21" x14ac:dyDescent="0.3">
      <c r="B4" s="10" t="s">
        <v>24</v>
      </c>
      <c r="C4" s="42">
        <f>1.25</f>
        <v>1.25</v>
      </c>
      <c r="F4" s="10"/>
      <c r="G4" s="10" t="s">
        <v>30</v>
      </c>
      <c r="H4" s="48">
        <f>MarketReturns-RiskFreeRate</f>
        <v>6.0000000000000005E-2</v>
      </c>
      <c r="K4" s="10"/>
      <c r="L4" s="10"/>
      <c r="M4" s="10"/>
      <c r="N4" s="10"/>
      <c r="O4" s="10"/>
      <c r="P4" s="10"/>
      <c r="Q4" s="10"/>
    </row>
    <row r="5" spans="2:21" ht="29.4" thickBot="1" x14ac:dyDescent="0.35">
      <c r="B5" s="10" t="s">
        <v>25</v>
      </c>
      <c r="C5" s="41">
        <f>14%</f>
        <v>0.14000000000000001</v>
      </c>
      <c r="F5" s="10"/>
      <c r="G5" s="10" t="s">
        <v>24</v>
      </c>
      <c r="H5" s="45">
        <v>1.25</v>
      </c>
      <c r="K5" s="34" t="s">
        <v>39</v>
      </c>
      <c r="L5" s="34" t="s">
        <v>41</v>
      </c>
      <c r="M5" s="34" t="s">
        <v>40</v>
      </c>
      <c r="N5" s="10"/>
      <c r="O5" s="10"/>
      <c r="P5" s="10"/>
      <c r="Q5" s="10"/>
    </row>
    <row r="6" spans="2:21" ht="29.4" thickBot="1" x14ac:dyDescent="0.35">
      <c r="B6" s="10" t="s">
        <v>26</v>
      </c>
      <c r="C6" s="41">
        <f>30%</f>
        <v>0.3</v>
      </c>
      <c r="F6" s="10"/>
      <c r="G6" s="46" t="s">
        <v>31</v>
      </c>
      <c r="H6" s="49">
        <f>RiskFreeRate+(ERP*Beta)</f>
        <v>0.11500000000000002</v>
      </c>
      <c r="K6" s="41">
        <v>0</v>
      </c>
      <c r="L6" s="42" t="s">
        <v>42</v>
      </c>
      <c r="M6" s="50">
        <v>9.5000000000000001E-2</v>
      </c>
      <c r="N6" s="10"/>
      <c r="O6" s="10"/>
      <c r="P6" s="10"/>
      <c r="Q6" s="10"/>
    </row>
    <row r="7" spans="2:21" x14ac:dyDescent="0.3">
      <c r="B7" s="10" t="s">
        <v>27</v>
      </c>
      <c r="C7" s="42">
        <f>125000</f>
        <v>125000</v>
      </c>
      <c r="F7" s="10"/>
      <c r="G7" s="10"/>
      <c r="H7" s="31"/>
      <c r="K7" s="41">
        <v>0.3</v>
      </c>
      <c r="L7" s="42" t="s">
        <v>43</v>
      </c>
      <c r="M7" s="50">
        <v>9.7500000000000003E-2</v>
      </c>
      <c r="N7" s="10"/>
      <c r="O7" s="10"/>
      <c r="P7" s="10"/>
      <c r="Q7" s="10"/>
    </row>
    <row r="8" spans="2:21" ht="28.8" x14ac:dyDescent="0.3">
      <c r="B8" s="10" t="s">
        <v>28</v>
      </c>
      <c r="C8" s="42">
        <f>125000</f>
        <v>125000</v>
      </c>
      <c r="F8" s="10"/>
      <c r="G8" s="10" t="s">
        <v>32</v>
      </c>
      <c r="H8" s="41">
        <v>0.14000000000000001</v>
      </c>
      <c r="K8" s="41">
        <v>0.5</v>
      </c>
      <c r="L8" s="42" t="s">
        <v>44</v>
      </c>
      <c r="M8" s="50">
        <v>0.1225</v>
      </c>
      <c r="N8" s="10"/>
      <c r="O8" s="10"/>
      <c r="P8" s="10"/>
      <c r="Q8" s="10"/>
    </row>
    <row r="9" spans="2:21" ht="15" thickBot="1" x14ac:dyDescent="0.35">
      <c r="B9" s="10"/>
      <c r="C9" s="10"/>
      <c r="F9" s="10"/>
      <c r="G9" s="10" t="s">
        <v>33</v>
      </c>
      <c r="H9" s="47">
        <v>0.3</v>
      </c>
      <c r="K9" s="41">
        <v>0.6</v>
      </c>
      <c r="L9" s="42" t="s">
        <v>45</v>
      </c>
      <c r="M9" s="50">
        <v>0.13750000000000001</v>
      </c>
      <c r="N9" s="10"/>
      <c r="O9" s="10"/>
      <c r="P9" s="10"/>
      <c r="Q9" s="10"/>
    </row>
    <row r="10" spans="2:21" ht="43.8" thickBot="1" x14ac:dyDescent="0.35">
      <c r="B10" s="10" t="s">
        <v>29</v>
      </c>
      <c r="C10" s="43"/>
      <c r="F10" s="10"/>
      <c r="G10" s="46" t="s">
        <v>34</v>
      </c>
      <c r="H10" s="49">
        <f>Cost_of_Debt*(1-Tax_Rate)</f>
        <v>9.8000000000000004E-2</v>
      </c>
      <c r="K10" s="10"/>
      <c r="L10" s="10"/>
      <c r="M10" s="10"/>
      <c r="N10" s="10"/>
      <c r="O10" s="10"/>
      <c r="P10" s="10"/>
      <c r="Q10" s="10"/>
    </row>
    <row r="11" spans="2:21" ht="15" thickBot="1" x14ac:dyDescent="0.35">
      <c r="B11" s="10"/>
      <c r="C11" s="10"/>
      <c r="F11" s="10"/>
      <c r="G11" s="10"/>
      <c r="H11" s="31"/>
      <c r="K11" s="10"/>
      <c r="L11" s="10"/>
      <c r="M11" s="10"/>
      <c r="N11" s="10"/>
      <c r="O11" s="10"/>
      <c r="P11" s="10"/>
      <c r="Q11" s="10"/>
    </row>
    <row r="12" spans="2:21" ht="28.8" x14ac:dyDescent="0.3">
      <c r="B12" s="10" t="s">
        <v>29</v>
      </c>
      <c r="C12" s="43"/>
      <c r="F12" s="10"/>
      <c r="G12" s="10" t="s">
        <v>35</v>
      </c>
      <c r="H12" s="42">
        <v>125000</v>
      </c>
      <c r="K12" s="10" t="s">
        <v>47</v>
      </c>
      <c r="L12" s="52">
        <v>14500</v>
      </c>
      <c r="N12" s="55"/>
      <c r="O12" s="59" t="s">
        <v>49</v>
      </c>
      <c r="P12" s="59"/>
      <c r="Q12" s="59"/>
      <c r="R12" s="59"/>
      <c r="S12" s="59"/>
      <c r="T12" s="59"/>
      <c r="U12" s="60"/>
    </row>
    <row r="13" spans="2:21" ht="29.4" thickBot="1" x14ac:dyDescent="0.35">
      <c r="F13" s="10"/>
      <c r="G13" s="10" t="s">
        <v>36</v>
      </c>
      <c r="H13" s="42">
        <v>125000</v>
      </c>
      <c r="K13" s="10" t="s">
        <v>48</v>
      </c>
      <c r="L13" s="50">
        <v>9.9999999999999631E-2</v>
      </c>
      <c r="N13" s="56"/>
      <c r="O13" s="63">
        <f>L18</f>
        <v>9569.9999999999964</v>
      </c>
      <c r="P13" s="62">
        <f>40%</f>
        <v>0.4</v>
      </c>
      <c r="Q13" s="62">
        <f>P13+10%</f>
        <v>0.5</v>
      </c>
      <c r="R13" s="62">
        <f t="shared" ref="R13:U13" si="0">Q13+10%</f>
        <v>0.6</v>
      </c>
      <c r="S13" s="62">
        <f t="shared" si="0"/>
        <v>0.7</v>
      </c>
      <c r="T13" s="62">
        <f t="shared" si="0"/>
        <v>0.79999999999999993</v>
      </c>
      <c r="U13" s="69">
        <f t="shared" si="0"/>
        <v>0.89999999999999991</v>
      </c>
    </row>
    <row r="14" spans="2:21" ht="28.8" x14ac:dyDescent="0.3">
      <c r="F14" s="10"/>
      <c r="G14" s="10" t="s">
        <v>37</v>
      </c>
      <c r="H14" s="48">
        <f>Equity_Value/(Equity_Value+Debt_Value)</f>
        <v>0.5</v>
      </c>
      <c r="K14" s="10" t="s">
        <v>49</v>
      </c>
      <c r="L14" s="50">
        <v>0.6</v>
      </c>
      <c r="N14" s="56"/>
      <c r="O14" s="61">
        <f>8%</f>
        <v>0.08</v>
      </c>
      <c r="P14" s="65">
        <f t="dataTable" ref="P14:U22" dt2D="1" dtr="1" r1="L14" r2="L13"/>
        <v>6264.0000000000018</v>
      </c>
      <c r="Q14" s="66">
        <v>7830.0000000000009</v>
      </c>
      <c r="R14" s="66">
        <v>9396</v>
      </c>
      <c r="S14" s="66">
        <v>10962</v>
      </c>
      <c r="T14" s="66">
        <v>12528</v>
      </c>
      <c r="U14" s="70">
        <v>14094</v>
      </c>
    </row>
    <row r="15" spans="2:21" ht="28.8" x14ac:dyDescent="0.3">
      <c r="F15" s="10"/>
      <c r="G15" s="10" t="s">
        <v>38</v>
      </c>
      <c r="H15" s="48">
        <f>1-H14</f>
        <v>0.5</v>
      </c>
      <c r="K15" s="10"/>
      <c r="L15" s="10"/>
      <c r="N15" s="56"/>
      <c r="O15" s="61">
        <f>O14+2%</f>
        <v>0.1</v>
      </c>
      <c r="P15" s="67">
        <v>6380.0000000000018</v>
      </c>
      <c r="Q15" s="68">
        <v>7975.0000000000009</v>
      </c>
      <c r="R15" s="68">
        <v>9570</v>
      </c>
      <c r="S15" s="68">
        <v>11165</v>
      </c>
      <c r="T15" s="68">
        <v>12760</v>
      </c>
      <c r="U15" s="71">
        <v>14355</v>
      </c>
    </row>
    <row r="16" spans="2:21" ht="43.2" x14ac:dyDescent="0.3">
      <c r="F16" s="10"/>
      <c r="G16" s="10"/>
      <c r="H16" s="10"/>
      <c r="K16" s="10" t="s">
        <v>50</v>
      </c>
      <c r="L16" s="51">
        <f>L12*(1+L13)</f>
        <v>15949.999999999995</v>
      </c>
      <c r="N16" s="56"/>
      <c r="O16" s="61">
        <f t="shared" ref="O16:O22" si="1">O15+2%</f>
        <v>0.12000000000000001</v>
      </c>
      <c r="P16" s="67">
        <v>6496.0000000000018</v>
      </c>
      <c r="Q16" s="68">
        <v>8120.0000000000009</v>
      </c>
      <c r="R16" s="68">
        <v>9744</v>
      </c>
      <c r="S16" s="68">
        <v>11368</v>
      </c>
      <c r="T16" s="68">
        <v>12992</v>
      </c>
      <c r="U16" s="71">
        <v>14616</v>
      </c>
    </row>
    <row r="17" spans="6:21" ht="29.4" thickBot="1" x14ac:dyDescent="0.35">
      <c r="F17" s="10"/>
      <c r="G17" s="10" t="s">
        <v>29</v>
      </c>
      <c r="H17" s="43">
        <v>0.1065</v>
      </c>
      <c r="K17" s="10" t="s">
        <v>51</v>
      </c>
      <c r="L17" s="53">
        <f>-L16*(1-L14)</f>
        <v>-6379.9999999999982</v>
      </c>
      <c r="N17" s="57" t="s">
        <v>48</v>
      </c>
      <c r="O17" s="61">
        <f t="shared" si="1"/>
        <v>0.14000000000000001</v>
      </c>
      <c r="P17" s="67">
        <v>6612</v>
      </c>
      <c r="Q17" s="68">
        <v>8265</v>
      </c>
      <c r="R17" s="68">
        <v>9918</v>
      </c>
      <c r="S17" s="68">
        <v>11571</v>
      </c>
      <c r="T17" s="68">
        <v>13224</v>
      </c>
      <c r="U17" s="71">
        <v>14876.999999999998</v>
      </c>
    </row>
    <row r="18" spans="6:21" ht="29.4" thickBot="1" x14ac:dyDescent="0.35">
      <c r="F18" s="10"/>
      <c r="G18" s="10"/>
      <c r="H18" s="10"/>
      <c r="K18" s="10" t="s">
        <v>4</v>
      </c>
      <c r="L18" s="54">
        <f>SUM(L16:L17)</f>
        <v>9569.9999999999964</v>
      </c>
      <c r="N18" s="56"/>
      <c r="O18" s="61">
        <f t="shared" si="1"/>
        <v>0.16</v>
      </c>
      <c r="P18" s="67">
        <v>6728</v>
      </c>
      <c r="Q18" s="68">
        <v>8410</v>
      </c>
      <c r="R18" s="68">
        <v>10092</v>
      </c>
      <c r="S18" s="68">
        <v>11774</v>
      </c>
      <c r="T18" s="68">
        <v>13456</v>
      </c>
      <c r="U18" s="71">
        <v>15137.999999999998</v>
      </c>
    </row>
    <row r="19" spans="6:21" ht="29.4" thickTop="1" x14ac:dyDescent="0.3">
      <c r="F19" s="10"/>
      <c r="G19" s="10" t="s">
        <v>29</v>
      </c>
      <c r="H19" s="43">
        <v>0.1065</v>
      </c>
      <c r="N19" s="56"/>
      <c r="O19" s="61">
        <f t="shared" si="1"/>
        <v>0.18</v>
      </c>
      <c r="P19" s="67">
        <v>6844</v>
      </c>
      <c r="Q19" s="68">
        <v>8555</v>
      </c>
      <c r="R19" s="68">
        <v>10266</v>
      </c>
      <c r="S19" s="68">
        <v>11977</v>
      </c>
      <c r="T19" s="68">
        <v>13687.999999999998</v>
      </c>
      <c r="U19" s="71">
        <v>15398.999999999998</v>
      </c>
    </row>
    <row r="20" spans="6:21" x14ac:dyDescent="0.3">
      <c r="F20" s="10"/>
      <c r="G20" s="10"/>
      <c r="H20" s="10"/>
      <c r="N20" s="56"/>
      <c r="O20" s="61">
        <f t="shared" si="1"/>
        <v>0.19999999999999998</v>
      </c>
      <c r="P20" s="67">
        <v>6960</v>
      </c>
      <c r="Q20" s="68">
        <v>8700</v>
      </c>
      <c r="R20" s="68">
        <v>10440</v>
      </c>
      <c r="S20" s="68">
        <v>12180</v>
      </c>
      <c r="T20" s="68">
        <v>13919.999999999998</v>
      </c>
      <c r="U20" s="71">
        <v>15659.999999999998</v>
      </c>
    </row>
    <row r="21" spans="6:21" ht="28.8" x14ac:dyDescent="0.3">
      <c r="F21" s="10"/>
      <c r="G21" s="10" t="s">
        <v>29</v>
      </c>
      <c r="H21" s="44"/>
      <c r="N21" s="56"/>
      <c r="O21" s="61">
        <f t="shared" si="1"/>
        <v>0.21999999999999997</v>
      </c>
      <c r="P21" s="67">
        <v>7076</v>
      </c>
      <c r="Q21" s="68">
        <v>8845</v>
      </c>
      <c r="R21" s="68">
        <v>10614</v>
      </c>
      <c r="S21" s="68">
        <v>12383</v>
      </c>
      <c r="T21" s="68">
        <v>14151.999999999998</v>
      </c>
      <c r="U21" s="71">
        <v>15920.999999999998</v>
      </c>
    </row>
    <row r="22" spans="6:21" ht="15" thickBot="1" x14ac:dyDescent="0.35">
      <c r="F22" s="10"/>
      <c r="G22" s="10"/>
      <c r="H22" s="10"/>
      <c r="N22" s="58"/>
      <c r="O22" s="72">
        <f t="shared" si="1"/>
        <v>0.23999999999999996</v>
      </c>
      <c r="P22" s="73">
        <v>7192</v>
      </c>
      <c r="Q22" s="64">
        <v>8990</v>
      </c>
      <c r="R22" s="64">
        <v>10788</v>
      </c>
      <c r="S22" s="64">
        <v>12586</v>
      </c>
      <c r="T22" s="64">
        <v>14383.999999999998</v>
      </c>
      <c r="U22" s="74">
        <v>16181.999999999998</v>
      </c>
    </row>
    <row r="23" spans="6:21" ht="28.8" x14ac:dyDescent="0.3">
      <c r="F23" s="10"/>
      <c r="G23" s="10" t="s">
        <v>29</v>
      </c>
      <c r="H23" s="48">
        <f>(Cost_of_Equity*Equity_Funding)+(Post_Tax_Cost_of_Debt*Debt_Funding)</f>
        <v>0.10650000000000001</v>
      </c>
    </row>
  </sheetData>
  <mergeCells count="1">
    <mergeCell ref="O12:U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20</vt:i4>
      </vt:variant>
    </vt:vector>
  </HeadingPairs>
  <TitlesOfParts>
    <vt:vector size="23" baseType="lpstr">
      <vt:lpstr>Session 1</vt:lpstr>
      <vt:lpstr>Session 2</vt:lpstr>
      <vt:lpstr>Session 3</vt:lpstr>
      <vt:lpstr>_</vt:lpstr>
      <vt:lpstr>Beta</vt:lpstr>
      <vt:lpstr>Cost_of_Debt</vt:lpstr>
      <vt:lpstr>Cost_of_Equity</vt:lpstr>
      <vt:lpstr>CostofDebt</vt:lpstr>
      <vt:lpstr>Coupon_Rate</vt:lpstr>
      <vt:lpstr>D_E_Ratio</vt:lpstr>
      <vt:lpstr>Debt_Funding</vt:lpstr>
      <vt:lpstr>Debt_Value</vt:lpstr>
      <vt:lpstr>DebtValue</vt:lpstr>
      <vt:lpstr>Equity_Funding</vt:lpstr>
      <vt:lpstr>Equity_Value</vt:lpstr>
      <vt:lpstr>EquityValue</vt:lpstr>
      <vt:lpstr>ERP</vt:lpstr>
      <vt:lpstr>MarketReturns</vt:lpstr>
      <vt:lpstr>Post_Tax_Cost_of_Debt</vt:lpstr>
      <vt:lpstr>Risk_Rating</vt:lpstr>
      <vt:lpstr>RiskFreeRate</vt:lpstr>
      <vt:lpstr>Tax_Rate</vt:lpstr>
      <vt:lpstr>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 singh</dc:creator>
  <cp:lastModifiedBy>aditya raj singh</cp:lastModifiedBy>
  <dcterms:created xsi:type="dcterms:W3CDTF">2015-06-05T18:17:20Z</dcterms:created>
  <dcterms:modified xsi:type="dcterms:W3CDTF">2025-08-05T13:35:21Z</dcterms:modified>
</cp:coreProperties>
</file>