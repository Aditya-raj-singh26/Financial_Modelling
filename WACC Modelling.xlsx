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F3EF9F67-C999-4384-9AEF-89A46E48721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CF &gt;" sheetId="2" r:id="rId1"/>
    <sheet name="WACC" sheetId="1" r:id="rId2"/>
    <sheet name="Beta regression" sheetId="5" r:id="rId3"/>
    <sheet name="Beta - Comps" sheetId="6" r:id="rId4"/>
    <sheet name="Intrinsic Growth" sheetId="7" r:id="rId5"/>
    <sheet name="Data Room&gt;" sheetId="3" r:id="rId6"/>
    <sheet name="Datashee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7" l="1"/>
  <c r="G34" i="7"/>
  <c r="H34" i="7"/>
  <c r="I34" i="7"/>
  <c r="E34" i="7"/>
  <c r="B22" i="7"/>
  <c r="F32" i="7"/>
  <c r="G32" i="7"/>
  <c r="H32" i="7"/>
  <c r="I32" i="7"/>
  <c r="E32" i="7"/>
  <c r="F31" i="7"/>
  <c r="G31" i="7"/>
  <c r="H31" i="7"/>
  <c r="I31" i="7"/>
  <c r="E31" i="7"/>
  <c r="F30" i="7"/>
  <c r="G30" i="7"/>
  <c r="H30" i="7"/>
  <c r="I30" i="7"/>
  <c r="E30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F22" i="7"/>
  <c r="G22" i="7"/>
  <c r="H22" i="7"/>
  <c r="I22" i="7"/>
  <c r="E22" i="7"/>
  <c r="B28" i="7"/>
  <c r="B29" i="7"/>
  <c r="B23" i="7"/>
  <c r="B24" i="7"/>
  <c r="B25" i="7"/>
  <c r="B26" i="7"/>
  <c r="B27" i="7"/>
  <c r="F19" i="7"/>
  <c r="G19" i="7"/>
  <c r="H19" i="7"/>
  <c r="I19" i="7"/>
  <c r="E19" i="7"/>
  <c r="F17" i="7"/>
  <c r="G17" i="7"/>
  <c r="H17" i="7"/>
  <c r="I17" i="7"/>
  <c r="E17" i="7"/>
  <c r="E15" i="7"/>
  <c r="F15" i="7"/>
  <c r="G15" i="7"/>
  <c r="H15" i="7"/>
  <c r="I15" i="7"/>
  <c r="E16" i="7"/>
  <c r="F16" i="7"/>
  <c r="G16" i="7"/>
  <c r="H16" i="7"/>
  <c r="I16" i="7"/>
  <c r="F14" i="7"/>
  <c r="G14" i="7"/>
  <c r="H14" i="7"/>
  <c r="I14" i="7"/>
  <c r="E14" i="7"/>
  <c r="B15" i="7"/>
  <c r="B16" i="7"/>
  <c r="B14" i="7"/>
  <c r="F10" i="7"/>
  <c r="G10" i="7"/>
  <c r="H10" i="7"/>
  <c r="I10" i="7"/>
  <c r="E10" i="7"/>
  <c r="E9" i="7"/>
  <c r="F9" i="7"/>
  <c r="G9" i="7"/>
  <c r="H9" i="7"/>
  <c r="I9" i="7"/>
  <c r="F8" i="7"/>
  <c r="G8" i="7"/>
  <c r="H8" i="7"/>
  <c r="I8" i="7"/>
  <c r="E8" i="7"/>
  <c r="E6" i="7"/>
  <c r="F6" i="7"/>
  <c r="G6" i="7"/>
  <c r="H6" i="7"/>
  <c r="I6" i="7"/>
  <c r="E7" i="7"/>
  <c r="F7" i="7"/>
  <c r="G7" i="7"/>
  <c r="H7" i="7"/>
  <c r="I7" i="7"/>
  <c r="F5" i="7"/>
  <c r="G5" i="7"/>
  <c r="H5" i="7"/>
  <c r="I5" i="7"/>
  <c r="E5" i="7"/>
  <c r="B9" i="7"/>
  <c r="B8" i="7"/>
  <c r="B7" i="7"/>
  <c r="B6" i="7"/>
  <c r="B5" i="7"/>
  <c r="F2" i="7"/>
  <c r="G2" i="7"/>
  <c r="H2" i="7"/>
  <c r="I2" i="7"/>
  <c r="E2" i="7"/>
  <c r="C26" i="3"/>
  <c r="D26" i="3"/>
  <c r="E26" i="3"/>
  <c r="F26" i="3"/>
  <c r="G26" i="3"/>
  <c r="H26" i="3"/>
  <c r="I26" i="3"/>
  <c r="J26" i="3"/>
  <c r="K26" i="3"/>
  <c r="L26" i="3"/>
  <c r="M26" i="3"/>
  <c r="B26" i="3"/>
  <c r="D30" i="1"/>
  <c r="D31" i="1"/>
  <c r="F30" i="1"/>
  <c r="L37" i="1" s="1"/>
  <c r="L38" i="1" s="1"/>
  <c r="F22" i="1"/>
  <c r="K31" i="1" s="1"/>
  <c r="K10" i="1"/>
  <c r="H9" i="1"/>
  <c r="J11" i="5"/>
  <c r="J8" i="5"/>
  <c r="J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7" i="5"/>
  <c r="J16" i="1"/>
  <c r="H17" i="1"/>
  <c r="J17" i="1"/>
  <c r="G17" i="1"/>
  <c r="G16" i="1"/>
  <c r="K11" i="1"/>
  <c r="K12" i="1"/>
  <c r="K13" i="1"/>
  <c r="I10" i="1"/>
  <c r="I11" i="1"/>
  <c r="I12" i="1"/>
  <c r="I13" i="1"/>
  <c r="I9" i="1"/>
  <c r="I16" i="1" s="1"/>
  <c r="K9" i="1"/>
  <c r="H10" i="1"/>
  <c r="H11" i="1"/>
  <c r="H12" i="1"/>
  <c r="H13" i="1"/>
  <c r="D32" i="1" l="1"/>
  <c r="E32" i="1" s="1"/>
  <c r="F32" i="1" s="1"/>
  <c r="F31" i="1" s="1"/>
  <c r="F34" i="1" s="1"/>
  <c r="K30" i="1" s="1"/>
  <c r="F23" i="1"/>
  <c r="K37" i="1" s="1"/>
  <c r="I17" i="1"/>
  <c r="K16" i="1"/>
  <c r="K17" i="1"/>
  <c r="H16" i="1"/>
  <c r="E31" i="1"/>
  <c r="E30" i="1"/>
  <c r="K23" i="1" l="1"/>
  <c r="K24" i="1" s="1"/>
  <c r="K38" i="1" s="1"/>
  <c r="L39" i="1" s="1"/>
  <c r="K29" i="1"/>
  <c r="K32" i="1" s="1"/>
  <c r="E34" i="1"/>
</calcChain>
</file>

<file path=xl/sharedStrings.xml><?xml version="1.0" encoding="utf-8"?>
<sst xmlns="http://schemas.openxmlformats.org/spreadsheetml/2006/main" count="163" uniqueCount="136">
  <si>
    <t>Weighted Average Cost of Capital</t>
  </si>
  <si>
    <t>All figures are in INR unless stated otherwise</t>
  </si>
  <si>
    <t>Peer comps</t>
  </si>
  <si>
    <t>Name of Comp</t>
  </si>
  <si>
    <t xml:space="preserve">Country 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</si>
  <si>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</si>
  <si>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</si>
  <si>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</si>
  <si>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 xml:space="preserve">Debt / 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</si>
  <si>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</si>
  <si>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</si>
  <si>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</si>
  <si>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</si>
  <si>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</si>
  <si>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Unlevered</t>
  </si>
  <si>
    <t>Average</t>
  </si>
  <si>
    <t>Median</t>
  </si>
  <si>
    <t>Cost of Debt</t>
  </si>
  <si>
    <t>Pre-Tax Cost of Debt</t>
  </si>
  <si>
    <t>Tax Rate</t>
  </si>
  <si>
    <t>Post-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</si>
  <si>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</si>
  <si>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</si>
  <si>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</si>
  <si>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4</t>
    </r>
  </si>
  <si>
    <t>Capital Structure</t>
  </si>
  <si>
    <t>Target</t>
  </si>
  <si>
    <t>Current</t>
  </si>
  <si>
    <t>Market Capitalization</t>
  </si>
  <si>
    <t>Total Capital</t>
  </si>
  <si>
    <t>Debt/Equity</t>
  </si>
  <si>
    <t>Levered Beta</t>
  </si>
  <si>
    <t>Comps Median Unlevered Beta</t>
  </si>
  <si>
    <t>Target Debt  / Equity</t>
  </si>
  <si>
    <t>Total Cost</t>
  </si>
  <si>
    <t>Total Weight</t>
  </si>
  <si>
    <t>Debt</t>
  </si>
  <si>
    <t>India</t>
  </si>
  <si>
    <t>Notes-</t>
  </si>
  <si>
    <t>Date</t>
  </si>
  <si>
    <t>Price</t>
  </si>
  <si>
    <t>Avenue Supermart Pvt. Ltd.</t>
  </si>
  <si>
    <t>Change in Price</t>
  </si>
  <si>
    <t>Regression - 2 years taken weekly</t>
  </si>
  <si>
    <t>Nifty</t>
  </si>
  <si>
    <t xml:space="preserve">Price </t>
  </si>
  <si>
    <t>Change in price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</si>
  <si>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</si>
  <si>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</si>
  <si>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</si>
  <si>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</si>
  <si>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</si>
  <si>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</si>
  <si>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</si>
  <si>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</si>
  <si>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</si>
  <si>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</si>
  <si>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</si>
  <si>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</si>
  <si>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</si>
  <si>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</si>
  <si>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</si>
  <si>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</si>
  <si>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</si>
  <si>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</si>
  <si>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</si>
  <si>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</si>
  <si>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</si>
  <si>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</si>
  <si>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</si>
  <si>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</si>
  <si>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</si>
  <si>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</si>
  <si>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Adjusted Beta</t>
  </si>
  <si>
    <t xml:space="preserve">Weight </t>
  </si>
  <si>
    <t>Market Beta</t>
  </si>
  <si>
    <t>Raw Beta</t>
  </si>
  <si>
    <t>Weight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</si>
  <si>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</si>
  <si>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</si>
  <si>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</si>
  <si>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r>
      <t>Mar Cap </t>
    </r>
    <r>
      <rPr>
        <sz val="11"/>
        <color rgb="FF737373"/>
        <rFont val="Arial"/>
        <family val="2"/>
      </rPr>
      <t>Rs.Cr.</t>
    </r>
  </si>
  <si>
    <r>
      <t>Debt </t>
    </r>
    <r>
      <rPr>
        <sz val="11"/>
        <color rgb="FF737373"/>
        <rFont val="Arial"/>
        <family val="2"/>
      </rPr>
      <t>Rs.Cr.</t>
    </r>
  </si>
  <si>
    <t>Debt / Eq</t>
  </si>
  <si>
    <t>Avenue Super.</t>
  </si>
  <si>
    <t>Vishal Mega Mart</t>
  </si>
  <si>
    <t>Shoppers Stop</t>
  </si>
  <si>
    <t>V-Mart Retail</t>
  </si>
  <si>
    <t>Electronics Mart</t>
  </si>
  <si>
    <t>Calculation of ROIC</t>
  </si>
  <si>
    <t>Current Assets</t>
  </si>
  <si>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</si>
  <si>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</si>
  <si>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</si>
  <si>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</si>
  <si>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</si>
  <si>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</si>
  <si>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</si>
  <si>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</si>
  <si>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</si>
  <si>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</si>
  <si>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</si>
  <si>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</si>
  <si>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</si>
  <si>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</si>
  <si>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</si>
  <si>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</si>
  <si>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</si>
  <si>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</si>
  <si>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</si>
  <si>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</si>
  <si>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</si>
  <si>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</si>
  <si>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</si>
  <si>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</si>
  <si>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</si>
  <si>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</si>
  <si>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 -</t>
  </si>
  <si>
    <t>Inventories</t>
  </si>
  <si>
    <t>Trade receivables -</t>
  </si>
  <si>
    <t>Prov for Doubtful</t>
  </si>
  <si>
    <t>Cash Equivalents</t>
  </si>
  <si>
    <t>Loans n Advances</t>
  </si>
  <si>
    <t>Other asset items</t>
  </si>
  <si>
    <t>Total Assets</t>
  </si>
  <si>
    <t>Net Block</t>
  </si>
  <si>
    <t>Total Current Assets</t>
  </si>
  <si>
    <t>Current Liabilities</t>
  </si>
  <si>
    <t>Total Current Liabilities</t>
  </si>
  <si>
    <t>Net Working Capital</t>
  </si>
  <si>
    <t>#</t>
  </si>
  <si>
    <t>Non-current Assets</t>
  </si>
  <si>
    <t>Accumulated Depreceation</t>
  </si>
  <si>
    <t>Net non-current assets</t>
  </si>
  <si>
    <t>Invested Capital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</si>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</sst>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INR]\ #,##0.00"/>
    <numFmt numFmtId="169" formatCode="#,##0.0;\-0;\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theme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  <font>
      <sz val="11"/>
      <color theme="0"/>
      <name val="Calibri"/>
      <family val="2"/>
      <scheme val="minor"/>
    </font>
    <font>
      <sz val="11"/>
      <color rgb="FF232526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DBE4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10" fontId="0" fillId="0" borderId="0" xfId="0" applyNumberFormat="1"/>
    <xf numFmtId="9" fontId="0" fillId="0" borderId="0" xfId="0" applyNumberFormat="1"/>
    <xf numFmtId="0" fontId="0" fillId="0" borderId="3" xfId="0" applyBorder="1"/>
    <xf numFmtId="10" fontId="0" fillId="3" borderId="3" xfId="0" applyNumberFormat="1" applyFill="1" applyBorder="1"/>
    <xf numFmtId="10" fontId="5" fillId="0" borderId="0" xfId="0" applyNumberFormat="1" applyFont="1"/>
    <xf numFmtId="10" fontId="0" fillId="0" borderId="0" xfId="1" applyNumberFormat="1" applyFont="1"/>
    <xf numFmtId="9" fontId="0" fillId="0" borderId="3" xfId="1" applyFont="1" applyBorder="1"/>
    <xf numFmtId="9" fontId="0" fillId="0" borderId="3" xfId="0" applyNumberFormat="1" applyBorder="1"/>
    <xf numFmtId="0" fontId="6" fillId="0" borderId="0" xfId="0" applyFont="1"/>
    <xf numFmtId="10" fontId="0" fillId="3" borderId="0" xfId="0" applyNumberForma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0" fontId="7" fillId="0" borderId="0" xfId="0" applyNumberFormat="1" applyFont="1" applyAlignment="1">
      <alignment horizontal="right" vertical="top" wrapText="1"/>
    </xf>
    <xf numFmtId="2" fontId="8" fillId="0" borderId="0" xfId="0" applyNumberFormat="1" applyFont="1"/>
    <xf numFmtId="2" fontId="0" fillId="0" borderId="0" xfId="0" applyNumberFormat="1"/>
    <xf numFmtId="10" fontId="0" fillId="0" borderId="2" xfId="0" applyNumberFormat="1" applyBorder="1"/>
    <xf numFmtId="10" fontId="0" fillId="0" borderId="1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10" fontId="0" fillId="0" borderId="3" xfId="1" applyNumberFormat="1" applyFont="1" applyBorder="1"/>
    <xf numFmtId="2" fontId="0" fillId="3" borderId="0" xfId="0" applyNumberFormat="1" applyFill="1"/>
    <xf numFmtId="0" fontId="9" fillId="0" borderId="0" xfId="0" applyFont="1"/>
    <xf numFmtId="0" fontId="10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right" vertical="center" wrapText="1"/>
    </xf>
    <xf numFmtId="15" fontId="10" fillId="4" borderId="0" xfId="0" applyNumberFormat="1" applyFont="1" applyFill="1" applyAlignment="1">
      <alignment horizontal="left" vertical="center"/>
    </xf>
    <xf numFmtId="4" fontId="11" fillId="4" borderId="0" xfId="0" applyNumberFormat="1" applyFont="1" applyFill="1" applyAlignment="1">
      <alignment horizontal="right" vertical="center" wrapText="1" readingOrder="1"/>
    </xf>
    <xf numFmtId="4" fontId="12" fillId="4" borderId="0" xfId="0" applyNumberFormat="1" applyFont="1" applyFill="1" applyAlignment="1">
      <alignment horizontal="right" vertical="center" wrapText="1"/>
    </xf>
    <xf numFmtId="0" fontId="12" fillId="4" borderId="0" xfId="0" applyFont="1" applyFill="1" applyAlignment="1">
      <alignment horizontal="right" vertical="center" wrapText="1"/>
    </xf>
    <xf numFmtId="10" fontId="13" fillId="4" borderId="0" xfId="0" applyNumberFormat="1" applyFont="1" applyFill="1" applyAlignment="1">
      <alignment horizontal="right" vertical="center" readingOrder="1"/>
    </xf>
    <xf numFmtId="4" fontId="14" fillId="4" borderId="0" xfId="0" applyNumberFormat="1" applyFont="1" applyFill="1" applyAlignment="1">
      <alignment horizontal="right" vertical="center" wrapText="1" readingOrder="1"/>
    </xf>
    <xf numFmtId="10" fontId="15" fillId="4" borderId="0" xfId="0" applyNumberFormat="1" applyFont="1" applyFill="1" applyAlignment="1">
      <alignment horizontal="right" vertical="center" readingOrder="1"/>
    </xf>
    <xf numFmtId="15" fontId="10" fillId="5" borderId="0" xfId="0" applyNumberFormat="1" applyFont="1" applyFill="1" applyAlignment="1">
      <alignment horizontal="left" vertical="center"/>
    </xf>
    <xf numFmtId="4" fontId="11" fillId="5" borderId="0" xfId="0" applyNumberFormat="1" applyFont="1" applyFill="1" applyAlignment="1">
      <alignment horizontal="right" vertical="center" wrapText="1" readingOrder="1"/>
    </xf>
    <xf numFmtId="4" fontId="12" fillId="5" borderId="0" xfId="0" applyNumberFormat="1" applyFont="1" applyFill="1" applyAlignment="1">
      <alignment horizontal="right" vertical="center" wrapText="1"/>
    </xf>
    <xf numFmtId="0" fontId="12" fillId="5" borderId="0" xfId="0" applyFont="1" applyFill="1" applyAlignment="1">
      <alignment horizontal="right" vertical="center" wrapText="1"/>
    </xf>
    <xf numFmtId="10" fontId="13" fillId="5" borderId="0" xfId="0" applyNumberFormat="1" applyFont="1" applyFill="1" applyAlignment="1">
      <alignment horizontal="right" vertical="center" readingOrder="1"/>
    </xf>
    <xf numFmtId="0" fontId="2" fillId="0" borderId="0" xfId="0" applyFont="1"/>
    <xf numFmtId="165" fontId="17" fillId="4" borderId="0" xfId="0" applyNumberFormat="1" applyFont="1" applyFill="1" applyAlignment="1">
      <alignment horizontal="left" vertical="center"/>
    </xf>
    <xf numFmtId="165" fontId="0" fillId="7" borderId="0" xfId="0" applyNumberFormat="1" applyFill="1" applyAlignment="1">
      <alignment horizontal="right" vertical="center" wrapText="1" readingOrder="1"/>
    </xf>
    <xf numFmtId="165" fontId="17" fillId="5" borderId="0" xfId="0" applyNumberFormat="1" applyFon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 wrapText="1" readingOrder="1"/>
    </xf>
    <xf numFmtId="165" fontId="0" fillId="5" borderId="0" xfId="0" applyNumberFormat="1" applyFill="1" applyAlignment="1">
      <alignment horizontal="right" vertical="center" wrapText="1" readingOrder="1"/>
    </xf>
    <xf numFmtId="0" fontId="0" fillId="0" borderId="4" xfId="0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Continuous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8" fillId="4" borderId="6" xfId="0" applyFont="1" applyFill="1" applyBorder="1" applyAlignment="1">
      <alignment horizontal="left" vertical="center" indent="2"/>
    </xf>
    <xf numFmtId="0" fontId="18" fillId="4" borderId="6" xfId="0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right" vertical="center" wrapText="1"/>
    </xf>
    <xf numFmtId="0" fontId="20" fillId="8" borderId="0" xfId="0" applyFont="1" applyFill="1" applyAlignment="1">
      <alignment horizontal="left" vertical="center" indent="2"/>
    </xf>
    <xf numFmtId="0" fontId="22" fillId="8" borderId="0" xfId="2" applyFill="1" applyAlignment="1">
      <alignment horizontal="left" vertical="center"/>
    </xf>
    <xf numFmtId="0" fontId="20" fillId="8" borderId="0" xfId="0" applyFont="1" applyFill="1" applyAlignment="1">
      <alignment horizontal="right" vertical="center" wrapText="1"/>
    </xf>
    <xf numFmtId="0" fontId="21" fillId="4" borderId="0" xfId="0" applyFont="1" applyFill="1" applyAlignment="1">
      <alignment horizontal="left" vertical="center" indent="2"/>
    </xf>
    <xf numFmtId="0" fontId="22" fillId="4" borderId="0" xfId="2" applyFill="1" applyAlignment="1">
      <alignment horizontal="left" vertical="center"/>
    </xf>
    <xf numFmtId="0" fontId="21" fillId="4" borderId="0" xfId="0" applyFont="1" applyFill="1" applyAlignment="1">
      <alignment horizontal="right" vertical="center" wrapText="1"/>
    </xf>
    <xf numFmtId="0" fontId="21" fillId="8" borderId="0" xfId="0" applyFont="1" applyFill="1" applyAlignment="1">
      <alignment horizontal="left" vertical="center" indent="2"/>
    </xf>
    <xf numFmtId="0" fontId="21" fillId="8" borderId="0" xfId="0" applyFont="1" applyFill="1" applyAlignment="1">
      <alignment horizontal="right" vertical="center" wrapText="1"/>
    </xf>
    <xf numFmtId="0" fontId="23" fillId="8" borderId="0" xfId="0" applyFont="1" applyFill="1" applyAlignment="1">
      <alignment horizontal="right" vertical="center" wrapText="1"/>
    </xf>
    <xf numFmtId="0" fontId="23" fillId="4" borderId="0" xfId="0" applyFont="1" applyFill="1" applyAlignment="1">
      <alignment horizontal="right" vertical="center" wrapText="1"/>
    </xf>
    <xf numFmtId="0" fontId="8" fillId="8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10" fontId="24" fillId="0" borderId="0" xfId="0" applyNumberFormat="1" applyFont="1"/>
    <xf numFmtId="10" fontId="8" fillId="0" borderId="0" xfId="0" applyNumberFormat="1" applyFont="1"/>
    <xf numFmtId="9" fontId="8" fillId="0" borderId="0" xfId="0" applyNumberFormat="1" applyFont="1"/>
    <xf numFmtId="164" fontId="24" fillId="0" borderId="0" xfId="0" applyNumberFormat="1" applyFont="1"/>
    <xf numFmtId="0" fontId="0" fillId="3" borderId="3" xfId="0" applyFill="1" applyBorder="1"/>
    <xf numFmtId="10" fontId="0" fillId="3" borderId="3" xfId="1" applyNumberFormat="1" applyFont="1" applyFill="1" applyBorder="1"/>
    <xf numFmtId="0" fontId="2" fillId="3" borderId="3" xfId="0" applyFont="1" applyFill="1" applyBorder="1"/>
    <xf numFmtId="0" fontId="1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" fillId="0" borderId="7" xfId="0" applyFont="1" applyBorder="1"/>
    <xf numFmtId="17" fontId="2" fillId="0" borderId="0" xfId="0" applyNumberFormat="1" applyFont="1"/>
    <xf numFmtId="0" fontId="0" fillId="0" borderId="8" xfId="0" applyBorder="1"/>
    <xf numFmtId="169" fontId="0" fillId="0" borderId="8" xfId="0" applyNumberFormat="1" applyBorder="1"/>
    <xf numFmtId="169" fontId="0" fillId="0" borderId="9" xfId="0" applyNumberFormat="1" applyBorder="1"/>
    <xf numFmtId="169" fontId="2" fillId="0" borderId="7" xfId="0" applyNumberFormat="1" applyFont="1" applyBorder="1"/>
    <xf numFmtId="169" fontId="0" fillId="0" borderId="0" xfId="0" applyNumberFormat="1"/>
    <xf numFmtId="169" fontId="2" fillId="0" borderId="8" xfId="0" applyNumberFormat="1" applyFont="1" applyBorder="1"/>
    <xf numFmtId="169" fontId="0" fillId="0" borderId="2" xfId="0" applyNumberFormat="1" applyBorder="1"/>
    <xf numFmtId="169" fontId="0" fillId="0" borderId="3" xfId="0" applyNumberFormat="1" applyBorder="1"/>
    <xf numFmtId="0" fontId="0" fillId="0" borderId="0" xfId="0" applyAlignment="1"/>
    <xf numFmtId="0" fontId="25" fillId="6" borderId="0" xfId="0" applyFont="1" applyFill="1" applyAlignment="1"/>
    <xf numFmtId="17" fontId="25" fillId="6" borderId="0" xfId="0" applyNumberFormat="1" applyFont="1" applyFill="1" applyAlignment="1"/>
    <xf numFmtId="0" fontId="2" fillId="0" borderId="10" xfId="0" applyFont="1" applyBorder="1"/>
    <xf numFmtId="0" fontId="0" fillId="0" borderId="10" xfId="0" applyBorder="1"/>
    <xf numFmtId="0" fontId="2" fillId="0" borderId="11" xfId="0" applyFont="1" applyBorder="1"/>
    <xf numFmtId="0" fontId="0" fillId="0" borderId="11" xfId="0" applyBorder="1"/>
    <xf numFmtId="0" fontId="0" fillId="0" borderId="11" xfId="0" applyFont="1" applyBorder="1"/>
    <xf numFmtId="0" fontId="2" fillId="0" borderId="12" xfId="0" applyFont="1" applyBorder="1"/>
    <xf numFmtId="0" fontId="0" fillId="0" borderId="12" xfId="0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SHOPERSTOP/consolidated/" TargetMode="External"/><Relationship Id="rId2" Type="http://schemas.openxmlformats.org/officeDocument/2006/relationships/hyperlink" Target="https://www.screener.in/company/VMM/consolidated/" TargetMode="External"/><Relationship Id="rId1" Type="http://schemas.openxmlformats.org/officeDocument/2006/relationships/hyperlink" Target="https://www.screener.in/company/DMART/consolidated/" TargetMode="External"/><Relationship Id="rId5" Type="http://schemas.openxmlformats.org/officeDocument/2006/relationships/hyperlink" Target="https://www.screener.in/company/EMIL/consolidated/" TargetMode="External"/><Relationship Id="rId4" Type="http://schemas.openxmlformats.org/officeDocument/2006/relationships/hyperlink" Target="https://www.screener.in/company/VM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B72A-749A-4F07-9AC3-E8FE0682DFEB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9"/>
  <sheetViews>
    <sheetView showGridLines="0" workbookViewId="0">
      <selection activeCell="R9" sqref="R9"/>
    </sheetView>
  </sheetViews>
  <sheetFormatPr defaultRowHeight="14.4" x14ac:dyDescent="0.3"/>
  <cols>
    <col min="1" max="1" width="1.88671875" customWidth="1"/>
    <col min="2" max="2" width="19.33203125" customWidth="1"/>
    <col min="5" max="5" width="20.21875" customWidth="1"/>
    <col min="6" max="6" width="10.6640625" customWidth="1"/>
    <col min="7" max="8" width="9.33203125" customWidth="1"/>
    <col min="9" max="9" width="8.88671875" customWidth="1"/>
    <col min="11" max="11" width="20.21875" bestFit="1" customWidth="1"/>
    <col min="13" max="13" width="3" customWidth="1"/>
  </cols>
  <sheetData>
    <row r="2" spans="2:1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">
      <c r="B4" s="3" t="s">
        <v>1</v>
      </c>
    </row>
    <row r="5" spans="2:11" x14ac:dyDescent="0.3">
      <c r="B5" s="3"/>
    </row>
    <row r="6" spans="2:11" x14ac:dyDescent="0.3">
      <c r="B6" s="30" t="s">
        <v>2</v>
      </c>
    </row>
    <row r="7" spans="2:11" x14ac:dyDescent="0.3">
      <c r="B7" s="5"/>
      <c r="C7" s="5"/>
      <c r="D7" s="5"/>
      <c r="E7" s="5"/>
      <c r="F7" s="5"/>
      <c r="G7" s="5"/>
      <c r="H7" s="5" t="s">
        <v>8</v>
      </c>
      <c r="I7" s="5" t="s">
        <v>8</v>
      </c>
      <c r="J7" s="5" t="s">
        <v>11</v>
      </c>
      <c r="K7" s="5" t="s">
        <v>14</v>
      </c>
    </row>
    <row r="8" spans="2:11" ht="16.2" x14ac:dyDescent="0.3">
      <c r="B8" s="4" t="s">
        <v>3</v>
      </c>
      <c r="C8" s="4"/>
      <c r="D8" s="4" t="s">
        <v>4</v>
      </c>
      <c r="E8" s="4" t="s">
        <v>5</v>
      </c>
      <c r="F8" s="4" t="s">
        <v>6</v>
      </c>
      <c r="G8" s="4" t="s">
        <v>7</v>
      </c>
      <c r="H8" s="4" t="s">
        <v>9</v>
      </c>
      <c r="I8" s="4" t="s">
        <v>10</v>
      </c>
      <c r="J8" s="4" t="s">
        <v>12</v>
      </c>
      <c r="K8" s="4" t="s">
        <v>13</v>
      </c>
    </row>
    <row r="9" spans="2:11" x14ac:dyDescent="0.3">
      <c r="B9" s="18" t="s">
        <v>84</v>
      </c>
      <c r="D9" s="19" t="s">
        <v>37</v>
      </c>
      <c r="E9" s="68">
        <v>819.62</v>
      </c>
      <c r="F9" s="70">
        <v>305766.46000000002</v>
      </c>
      <c r="G9" s="20">
        <v>0.3</v>
      </c>
      <c r="H9" s="13">
        <f>E9/F9</f>
        <v>2.6805425290923014E-3</v>
      </c>
      <c r="I9" s="8">
        <f>E9/(F9+E9)</f>
        <v>2.6733764298757464E-3</v>
      </c>
      <c r="J9" s="21">
        <v>1.05</v>
      </c>
      <c r="K9" s="22">
        <f>J9/(1+(1-G9)*H9)</f>
        <v>1.0480334911585254</v>
      </c>
    </row>
    <row r="10" spans="2:11" x14ac:dyDescent="0.3">
      <c r="B10" s="18" t="s">
        <v>85</v>
      </c>
      <c r="D10" s="19" t="s">
        <v>37</v>
      </c>
      <c r="E10" s="69">
        <v>1729.38</v>
      </c>
      <c r="F10" s="71">
        <v>70279.649999999994</v>
      </c>
      <c r="G10" s="20">
        <v>0.3</v>
      </c>
      <c r="H10" s="13">
        <f t="shared" ref="H10:H13" si="0">E10/F10</f>
        <v>2.4607123114585804E-2</v>
      </c>
      <c r="I10" s="8">
        <f t="shared" ref="I10:I13" si="1">E10/(F10+E10)</f>
        <v>2.4016154640605494E-2</v>
      </c>
      <c r="J10" s="21">
        <v>1.06</v>
      </c>
      <c r="K10" s="22">
        <f t="shared" ref="K10:K13" si="2">J10/(1+(1-G10)*H10)</f>
        <v>1.0420506912442398</v>
      </c>
    </row>
    <row r="11" spans="2:11" x14ac:dyDescent="0.3">
      <c r="B11" s="18" t="s">
        <v>86</v>
      </c>
      <c r="D11" s="19" t="s">
        <v>37</v>
      </c>
      <c r="E11" s="68">
        <v>3314.09</v>
      </c>
      <c r="F11" s="70">
        <v>5998.38</v>
      </c>
      <c r="G11" s="20">
        <v>0.3</v>
      </c>
      <c r="H11" s="13">
        <f t="shared" si="0"/>
        <v>0.55249750766040162</v>
      </c>
      <c r="I11" s="8">
        <f t="shared" si="1"/>
        <v>0.35587658268966232</v>
      </c>
      <c r="J11" s="21">
        <v>0.88200000000000001</v>
      </c>
      <c r="K11" s="22">
        <f t="shared" si="2"/>
        <v>0.63602027014599116</v>
      </c>
    </row>
    <row r="12" spans="2:11" x14ac:dyDescent="0.3">
      <c r="B12" s="18" t="s">
        <v>87</v>
      </c>
      <c r="D12" s="19" t="s">
        <v>37</v>
      </c>
      <c r="E12" s="69">
        <v>782.51</v>
      </c>
      <c r="F12" s="71">
        <v>5937.32</v>
      </c>
      <c r="G12" s="20">
        <v>0.3</v>
      </c>
      <c r="H12" s="13">
        <f t="shared" si="0"/>
        <v>0.13179515336886002</v>
      </c>
      <c r="I12" s="8">
        <f t="shared" si="1"/>
        <v>0.11644788633045776</v>
      </c>
      <c r="J12" s="21">
        <v>1.4</v>
      </c>
      <c r="K12" s="22">
        <f t="shared" si="2"/>
        <v>1.2817500856196462</v>
      </c>
    </row>
    <row r="13" spans="2:11" x14ac:dyDescent="0.3">
      <c r="B13" s="18" t="s">
        <v>88</v>
      </c>
      <c r="D13" s="19" t="s">
        <v>37</v>
      </c>
      <c r="E13" s="68">
        <v>1976.45</v>
      </c>
      <c r="F13" s="70">
        <v>5060.59</v>
      </c>
      <c r="G13" s="20">
        <v>0.3</v>
      </c>
      <c r="H13" s="13">
        <f t="shared" si="0"/>
        <v>0.3905572275169496</v>
      </c>
      <c r="I13" s="8">
        <f t="shared" si="1"/>
        <v>0.28086382910996671</v>
      </c>
      <c r="J13" s="21">
        <v>1.3</v>
      </c>
      <c r="K13" s="22">
        <f t="shared" si="2"/>
        <v>1.0208969282778602</v>
      </c>
    </row>
    <row r="16" spans="2:11" x14ac:dyDescent="0.3">
      <c r="F16" s="6" t="s">
        <v>15</v>
      </c>
      <c r="G16" s="23">
        <f>AVERAGE(G9:G13)</f>
        <v>0.3</v>
      </c>
      <c r="H16" s="23">
        <f t="shared" ref="H16:K16" si="3">AVERAGE(H9:H13)</f>
        <v>0.2204275108379779</v>
      </c>
      <c r="I16" s="23">
        <f t="shared" si="3"/>
        <v>0.1559755658401136</v>
      </c>
      <c r="J16" s="23">
        <f t="shared" si="3"/>
        <v>1.1384000000000001</v>
      </c>
      <c r="K16" s="25">
        <f t="shared" si="3"/>
        <v>1.0057502932892526</v>
      </c>
    </row>
    <row r="17" spans="2:12" x14ac:dyDescent="0.3">
      <c r="F17" s="7" t="s">
        <v>16</v>
      </c>
      <c r="G17" s="24">
        <f>MEDIAN(G9:G13)</f>
        <v>0.3</v>
      </c>
      <c r="H17" s="24">
        <f t="shared" ref="H17:K17" si="4">MEDIAN(H9:H13)</f>
        <v>0.13179515336886002</v>
      </c>
      <c r="I17" s="24">
        <f t="shared" si="4"/>
        <v>0.11644788633045776</v>
      </c>
      <c r="J17" s="24">
        <f t="shared" si="4"/>
        <v>1.06</v>
      </c>
      <c r="K17" s="26">
        <f t="shared" si="4"/>
        <v>1.0420506912442398</v>
      </c>
    </row>
    <row r="19" spans="2:12" x14ac:dyDescent="0.3">
      <c r="B19" s="7" t="s">
        <v>17</v>
      </c>
      <c r="C19" s="7"/>
      <c r="D19" s="7"/>
      <c r="E19" s="7"/>
      <c r="F19" s="7"/>
      <c r="H19" s="7" t="s">
        <v>21</v>
      </c>
      <c r="I19" s="7"/>
      <c r="J19" s="7"/>
      <c r="K19" s="7"/>
    </row>
    <row r="21" spans="2:12" x14ac:dyDescent="0.3">
      <c r="B21" t="s">
        <v>18</v>
      </c>
      <c r="F21" s="12">
        <v>8.4000000000000005E-2</v>
      </c>
      <c r="H21" t="s">
        <v>22</v>
      </c>
      <c r="K21" s="73">
        <v>7.9299999999999995E-2</v>
      </c>
    </row>
    <row r="22" spans="2:12" x14ac:dyDescent="0.3">
      <c r="B22" t="s">
        <v>19</v>
      </c>
      <c r="F22" s="72">
        <f>G9</f>
        <v>0.3</v>
      </c>
      <c r="H22" t="s">
        <v>23</v>
      </c>
      <c r="K22" s="74">
        <v>0.08</v>
      </c>
    </row>
    <row r="23" spans="2:12" ht="16.2" x14ac:dyDescent="0.3">
      <c r="B23" s="10" t="s">
        <v>20</v>
      </c>
      <c r="C23" s="10"/>
      <c r="D23" s="10"/>
      <c r="E23" s="10"/>
      <c r="F23" s="11">
        <f>F21*(1-F22)</f>
        <v>5.8799999999999998E-2</v>
      </c>
      <c r="H23" t="s">
        <v>24</v>
      </c>
      <c r="K23" s="29">
        <f>K17*(1+(1-F22)*F34)</f>
        <v>1.1768502393804003</v>
      </c>
    </row>
    <row r="24" spans="2:12" x14ac:dyDescent="0.3">
      <c r="H24" s="10" t="s">
        <v>21</v>
      </c>
      <c r="I24" s="10"/>
      <c r="J24" s="10"/>
      <c r="K24" s="28">
        <f>K21+K23*K22</f>
        <v>0.17344801915043201</v>
      </c>
    </row>
    <row r="27" spans="2:12" x14ac:dyDescent="0.3">
      <c r="B27" s="7" t="s">
        <v>25</v>
      </c>
      <c r="C27" s="7"/>
      <c r="D27" s="4"/>
      <c r="E27" s="4"/>
      <c r="F27" s="4"/>
      <c r="H27" s="7" t="s">
        <v>31</v>
      </c>
      <c r="I27" s="7"/>
      <c r="J27" s="4"/>
      <c r="K27" s="4"/>
      <c r="L27" s="4"/>
    </row>
    <row r="29" spans="2:12" x14ac:dyDescent="0.3">
      <c r="E29" s="7" t="s">
        <v>27</v>
      </c>
      <c r="F29" s="7" t="s">
        <v>26</v>
      </c>
      <c r="H29" t="s">
        <v>32</v>
      </c>
      <c r="K29" s="22">
        <f>K17</f>
        <v>1.0420506912442398</v>
      </c>
    </row>
    <row r="30" spans="2:12" x14ac:dyDescent="0.3">
      <c r="B30" t="s">
        <v>5</v>
      </c>
      <c r="D30" s="75">
        <f>E9</f>
        <v>819.62</v>
      </c>
      <c r="E30" s="13">
        <f>D30/$D$32</f>
        <v>2.6733764298757464E-3</v>
      </c>
      <c r="F30" s="72">
        <f>I16</f>
        <v>0.1559755658401136</v>
      </c>
      <c r="H30" t="s">
        <v>33</v>
      </c>
      <c r="K30" s="8">
        <f>F34</f>
        <v>0.18479982276267445</v>
      </c>
    </row>
    <row r="31" spans="2:12" x14ac:dyDescent="0.3">
      <c r="B31" t="s">
        <v>28</v>
      </c>
      <c r="D31" s="75">
        <f>F9</f>
        <v>305766.46000000002</v>
      </c>
      <c r="E31" s="13">
        <f t="shared" ref="E31:E32" si="5">D31/$D$32</f>
        <v>0.99732662357012425</v>
      </c>
      <c r="F31" s="9">
        <f>F32-F30</f>
        <v>0.84402443415988637</v>
      </c>
      <c r="H31" t="s">
        <v>19</v>
      </c>
      <c r="K31" s="8">
        <f>F22</f>
        <v>0.3</v>
      </c>
    </row>
    <row r="32" spans="2:12" x14ac:dyDescent="0.3">
      <c r="B32" s="10" t="s">
        <v>29</v>
      </c>
      <c r="C32" s="10"/>
      <c r="D32" s="10">
        <f>SUM(D30:D31)</f>
        <v>306586.08</v>
      </c>
      <c r="E32" s="14">
        <f t="shared" si="5"/>
        <v>1</v>
      </c>
      <c r="F32" s="15">
        <f>E32</f>
        <v>1</v>
      </c>
      <c r="H32" s="10" t="s">
        <v>31</v>
      </c>
      <c r="I32" s="10"/>
      <c r="J32" s="10"/>
      <c r="K32" s="27">
        <f>K29*(1+(1-K31)*K30)</f>
        <v>1.1768502393804003</v>
      </c>
      <c r="L32" s="10"/>
    </row>
    <row r="33" spans="2:13" x14ac:dyDescent="0.3">
      <c r="G33" s="16"/>
    </row>
    <row r="34" spans="2:13" x14ac:dyDescent="0.3">
      <c r="B34" t="s">
        <v>30</v>
      </c>
      <c r="E34" s="17">
        <f>E30/E31</f>
        <v>2.6805425290923014E-3</v>
      </c>
      <c r="F34" s="17">
        <f>F30/F31</f>
        <v>0.18479982276267445</v>
      </c>
      <c r="H34" s="7" t="s">
        <v>0</v>
      </c>
      <c r="I34" s="7"/>
      <c r="J34" s="4"/>
      <c r="K34" s="4"/>
      <c r="L34" s="4"/>
    </row>
    <row r="36" spans="2:13" x14ac:dyDescent="0.3">
      <c r="B36" s="3" t="s">
        <v>38</v>
      </c>
      <c r="K36" s="7" t="s">
        <v>34</v>
      </c>
      <c r="L36" s="7" t="s">
        <v>35</v>
      </c>
      <c r="M36" s="4"/>
    </row>
    <row r="37" spans="2:13" x14ac:dyDescent="0.3">
      <c r="H37" t="s">
        <v>36</v>
      </c>
      <c r="K37" s="8">
        <f>F23</f>
        <v>5.8799999999999998E-2</v>
      </c>
      <c r="L37" s="8">
        <f>F30</f>
        <v>0.1559755658401136</v>
      </c>
    </row>
    <row r="38" spans="2:13" x14ac:dyDescent="0.3">
      <c r="H38" t="s">
        <v>9</v>
      </c>
      <c r="K38" s="8">
        <f>K24</f>
        <v>0.17344801915043201</v>
      </c>
      <c r="L38" s="8">
        <f>1-L37</f>
        <v>0.84402443415988637</v>
      </c>
    </row>
    <row r="39" spans="2:13" x14ac:dyDescent="0.3">
      <c r="H39" s="78" t="s">
        <v>0</v>
      </c>
      <c r="I39" s="76"/>
      <c r="J39" s="76"/>
      <c r="K39" s="76"/>
      <c r="L39" s="77">
        <f>SUMPRODUCT(K37:K38,L37:L38)</f>
        <v>0.15556572949099517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99F6-8FA0-4478-861C-B016D76683E0}">
  <dimension ref="A1:U109"/>
  <sheetViews>
    <sheetView showGridLines="0" zoomScaleNormal="100" workbookViewId="0">
      <selection activeCell="K19" sqref="K19"/>
    </sheetView>
  </sheetViews>
  <sheetFormatPr defaultRowHeight="14.4" x14ac:dyDescent="0.3"/>
  <cols>
    <col min="2" max="2" width="13.88671875" customWidth="1"/>
    <col min="3" max="3" width="11.44140625" bestFit="1" customWidth="1"/>
    <col min="4" max="4" width="12.77734375" customWidth="1"/>
    <col min="6" max="6" width="13.21875" customWidth="1"/>
    <col min="7" max="7" width="13" customWidth="1"/>
    <col min="9" max="9" width="13" customWidth="1"/>
    <col min="13" max="13" width="25" customWidth="1"/>
    <col min="14" max="14" width="15.5546875" customWidth="1"/>
    <col min="15" max="15" width="16.33203125" customWidth="1"/>
    <col min="18" max="18" width="15.109375" customWidth="1"/>
  </cols>
  <sheetData>
    <row r="1" spans="1:14" x14ac:dyDescent="0.3">
      <c r="A1" s="45" t="s">
        <v>43</v>
      </c>
    </row>
    <row r="3" spans="1:14" x14ac:dyDescent="0.3">
      <c r="B3" s="79" t="s">
        <v>41</v>
      </c>
      <c r="C3" s="79"/>
      <c r="D3" s="79"/>
      <c r="F3" s="79" t="s">
        <v>44</v>
      </c>
      <c r="G3" s="80"/>
      <c r="I3" s="79" t="s">
        <v>73</v>
      </c>
      <c r="J3" s="80"/>
    </row>
    <row r="5" spans="1:14" x14ac:dyDescent="0.3">
      <c r="B5" s="54" t="s">
        <v>39</v>
      </c>
      <c r="C5" s="55" t="s">
        <v>40</v>
      </c>
      <c r="D5" s="56" t="s">
        <v>42</v>
      </c>
      <c r="E5" s="45"/>
      <c r="F5" s="7" t="s">
        <v>45</v>
      </c>
      <c r="G5" s="7" t="s">
        <v>46</v>
      </c>
      <c r="I5" t="s">
        <v>76</v>
      </c>
      <c r="J5">
        <f>N26</f>
        <v>1.0323078430832033</v>
      </c>
    </row>
    <row r="6" spans="1:14" x14ac:dyDescent="0.3">
      <c r="B6" s="46">
        <v>45886</v>
      </c>
      <c r="C6" s="47">
        <v>4698.8</v>
      </c>
      <c r="F6" s="49">
        <v>24870.1</v>
      </c>
      <c r="I6" t="s">
        <v>74</v>
      </c>
      <c r="J6" s="9">
        <v>0.75</v>
      </c>
    </row>
    <row r="7" spans="1:14" x14ac:dyDescent="0.3">
      <c r="B7" s="46">
        <v>45879</v>
      </c>
      <c r="C7" s="47">
        <v>4358.2</v>
      </c>
      <c r="D7" s="8">
        <f>(C7-C6)/C6</f>
        <v>-7.2486592321443846E-2</v>
      </c>
      <c r="F7" s="49">
        <v>24631.3</v>
      </c>
      <c r="G7" s="13">
        <f>(F7-F6)/F6</f>
        <v>-9.6018914278591279E-3</v>
      </c>
    </row>
    <row r="8" spans="1:14" x14ac:dyDescent="0.3">
      <c r="B8" s="46">
        <v>45872</v>
      </c>
      <c r="C8" s="47">
        <v>4170.1000000000004</v>
      </c>
      <c r="D8" s="8">
        <f t="shared" ref="D8:D71" si="0">(C8-C7)/C7</f>
        <v>-4.316002019182219E-2</v>
      </c>
      <c r="F8" s="49">
        <v>24363.3</v>
      </c>
      <c r="G8" s="13">
        <f t="shared" ref="G8:G71" si="1">(F8-F7)/F7</f>
        <v>-1.0880465099284245E-2</v>
      </c>
      <c r="I8" t="s">
        <v>75</v>
      </c>
      <c r="J8">
        <f>1</f>
        <v>1</v>
      </c>
    </row>
    <row r="9" spans="1:14" x14ac:dyDescent="0.3">
      <c r="B9" s="46">
        <v>45865</v>
      </c>
      <c r="C9" s="47">
        <v>4196</v>
      </c>
      <c r="D9" s="8">
        <f t="shared" si="0"/>
        <v>6.2108822330398869E-3</v>
      </c>
      <c r="F9" s="49">
        <v>24565.35</v>
      </c>
      <c r="G9" s="13">
        <f t="shared" si="1"/>
        <v>8.2932115107559028E-3</v>
      </c>
      <c r="I9" t="s">
        <v>77</v>
      </c>
      <c r="J9" s="9">
        <v>0.25</v>
      </c>
      <c r="L9" t="s">
        <v>47</v>
      </c>
      <c r="M9" t="s">
        <v>48</v>
      </c>
    </row>
    <row r="10" spans="1:14" ht="15" thickBot="1" x14ac:dyDescent="0.35">
      <c r="B10" s="46">
        <v>45858</v>
      </c>
      <c r="C10" s="47">
        <v>3997</v>
      </c>
      <c r="D10" s="8">
        <f t="shared" si="0"/>
        <v>-4.7426120114394663E-2</v>
      </c>
      <c r="F10" s="49">
        <v>24837</v>
      </c>
      <c r="G10" s="13">
        <f t="shared" si="1"/>
        <v>1.1058258889044995E-2</v>
      </c>
    </row>
    <row r="11" spans="1:14" x14ac:dyDescent="0.3">
      <c r="B11" s="46">
        <v>45851</v>
      </c>
      <c r="C11" s="47">
        <v>4048.6</v>
      </c>
      <c r="D11" s="8">
        <f t="shared" si="0"/>
        <v>1.290968226169625E-2</v>
      </c>
      <c r="F11" s="49">
        <v>24968.400000000001</v>
      </c>
      <c r="G11" s="13">
        <f t="shared" si="1"/>
        <v>5.2904940210170897E-3</v>
      </c>
      <c r="I11" t="s">
        <v>73</v>
      </c>
      <c r="J11">
        <f>J5*J6+J8*J9</f>
        <v>1.0242308823124024</v>
      </c>
      <c r="M11" s="53" t="s">
        <v>49</v>
      </c>
      <c r="N11" s="53"/>
    </row>
    <row r="12" spans="1:14" x14ac:dyDescent="0.3">
      <c r="B12" s="46">
        <v>45844</v>
      </c>
      <c r="C12" s="47">
        <v>4064.2</v>
      </c>
      <c r="D12" s="8">
        <f t="shared" si="0"/>
        <v>3.8531838166279476E-3</v>
      </c>
      <c r="F12" s="49">
        <v>25149.85</v>
      </c>
      <c r="G12" s="13">
        <f t="shared" si="1"/>
        <v>7.2671857227534437E-3</v>
      </c>
      <c r="M12" t="s">
        <v>50</v>
      </c>
      <c r="N12">
        <v>0.43553376806959382</v>
      </c>
    </row>
    <row r="13" spans="1:14" x14ac:dyDescent="0.3">
      <c r="B13" s="46">
        <v>45837</v>
      </c>
      <c r="C13" s="47">
        <v>4261.1000000000004</v>
      </c>
      <c r="D13" s="8">
        <f t="shared" si="0"/>
        <v>4.8447418926234082E-2</v>
      </c>
      <c r="F13" s="49">
        <v>25461</v>
      </c>
      <c r="G13" s="13">
        <f t="shared" si="1"/>
        <v>1.237184317202693E-2</v>
      </c>
      <c r="M13" t="s">
        <v>51</v>
      </c>
      <c r="N13">
        <v>0.18968966312889873</v>
      </c>
    </row>
    <row r="14" spans="1:14" x14ac:dyDescent="0.3">
      <c r="B14" s="46">
        <v>45830</v>
      </c>
      <c r="C14" s="47">
        <v>4313.5</v>
      </c>
      <c r="D14" s="8">
        <f t="shared" si="0"/>
        <v>1.2297294125929838E-2</v>
      </c>
      <c r="F14" s="49">
        <v>25637.8</v>
      </c>
      <c r="G14" s="13">
        <f t="shared" si="1"/>
        <v>6.943953497505961E-3</v>
      </c>
      <c r="M14" t="s">
        <v>52</v>
      </c>
      <c r="N14">
        <v>0.18166678850641257</v>
      </c>
    </row>
    <row r="15" spans="1:14" x14ac:dyDescent="0.3">
      <c r="B15" s="46">
        <v>45823</v>
      </c>
      <c r="C15" s="47">
        <v>4300.3</v>
      </c>
      <c r="D15" s="8">
        <f t="shared" si="0"/>
        <v>-3.0601599629071097E-3</v>
      </c>
      <c r="F15" s="49">
        <v>25112.400000000001</v>
      </c>
      <c r="G15" s="13">
        <f t="shared" si="1"/>
        <v>-2.0493178041797573E-2</v>
      </c>
      <c r="M15" t="s">
        <v>53</v>
      </c>
      <c r="N15">
        <v>3.7123309008358946E-2</v>
      </c>
    </row>
    <row r="16" spans="1:14" ht="15" thickBot="1" x14ac:dyDescent="0.35">
      <c r="B16" s="46">
        <v>45816</v>
      </c>
      <c r="C16" s="47">
        <v>4051.9</v>
      </c>
      <c r="D16" s="8">
        <f t="shared" si="0"/>
        <v>-5.7763411854986881E-2</v>
      </c>
      <c r="F16" s="49">
        <v>24718.6</v>
      </c>
      <c r="G16" s="13">
        <f t="shared" si="1"/>
        <v>-1.568149599401104E-2</v>
      </c>
      <c r="M16" s="51" t="s">
        <v>54</v>
      </c>
      <c r="N16" s="51">
        <v>103</v>
      </c>
    </row>
    <row r="17" spans="2:21" x14ac:dyDescent="0.3">
      <c r="B17" s="46">
        <v>45809</v>
      </c>
      <c r="C17" s="47">
        <v>4201.6000000000004</v>
      </c>
      <c r="D17" s="8">
        <f t="shared" si="0"/>
        <v>3.69456304449765E-2</v>
      </c>
      <c r="F17" s="49">
        <v>25003.05</v>
      </c>
      <c r="G17" s="13">
        <f t="shared" si="1"/>
        <v>1.1507528743537285E-2</v>
      </c>
    </row>
    <row r="18" spans="2:21" ht="15" thickBot="1" x14ac:dyDescent="0.35">
      <c r="B18" s="46">
        <v>45802</v>
      </c>
      <c r="C18" s="47">
        <v>4002.1</v>
      </c>
      <c r="D18" s="8">
        <f t="shared" si="0"/>
        <v>-4.7481911652703837E-2</v>
      </c>
      <c r="F18" s="49">
        <v>24750.7</v>
      </c>
      <c r="G18" s="13">
        <f t="shared" si="1"/>
        <v>-1.0092768682220711E-2</v>
      </c>
      <c r="M18" t="s">
        <v>55</v>
      </c>
    </row>
    <row r="19" spans="2:21" x14ac:dyDescent="0.3">
      <c r="B19" s="46">
        <v>45795</v>
      </c>
      <c r="C19" s="47">
        <v>4140.8</v>
      </c>
      <c r="D19" s="8">
        <f t="shared" si="0"/>
        <v>3.4656805177281994E-2</v>
      </c>
      <c r="F19" s="49">
        <v>24853.15</v>
      </c>
      <c r="G19" s="13">
        <f t="shared" si="1"/>
        <v>4.1392768689370698E-3</v>
      </c>
      <c r="M19" s="52"/>
      <c r="N19" s="52" t="s">
        <v>60</v>
      </c>
      <c r="O19" s="52" t="s">
        <v>61</v>
      </c>
      <c r="P19" s="52" t="s">
        <v>62</v>
      </c>
      <c r="Q19" s="52" t="s">
        <v>63</v>
      </c>
      <c r="R19" s="52" t="s">
        <v>64</v>
      </c>
    </row>
    <row r="20" spans="2:21" x14ac:dyDescent="0.3">
      <c r="B20" s="46">
        <v>45788</v>
      </c>
      <c r="C20" s="47">
        <v>4189.7</v>
      </c>
      <c r="D20" s="8">
        <f t="shared" si="0"/>
        <v>1.1809312210200838E-2</v>
      </c>
      <c r="F20" s="49">
        <v>25019.8</v>
      </c>
      <c r="G20" s="13">
        <f t="shared" si="1"/>
        <v>6.7053874458568759E-3</v>
      </c>
      <c r="M20" t="s">
        <v>56</v>
      </c>
      <c r="N20">
        <v>1</v>
      </c>
      <c r="O20">
        <v>3.2584196843638391E-2</v>
      </c>
      <c r="P20">
        <v>3.2584196843638391E-2</v>
      </c>
      <c r="Q20">
        <v>23.643603079280972</v>
      </c>
      <c r="R20">
        <v>4.2668480713620235E-6</v>
      </c>
    </row>
    <row r="21" spans="2:21" x14ac:dyDescent="0.3">
      <c r="B21" s="46">
        <v>45781</v>
      </c>
      <c r="C21" s="47">
        <v>3972.4</v>
      </c>
      <c r="D21" s="8">
        <f t="shared" si="0"/>
        <v>-5.186528868415393E-2</v>
      </c>
      <c r="F21" s="49">
        <v>24008</v>
      </c>
      <c r="G21" s="13">
        <f t="shared" si="1"/>
        <v>-4.0439971542538283E-2</v>
      </c>
      <c r="M21" t="s">
        <v>57</v>
      </c>
      <c r="N21">
        <v>101</v>
      </c>
      <c r="O21">
        <v>0.13919214724474052</v>
      </c>
      <c r="P21">
        <v>1.3781400717301042E-3</v>
      </c>
    </row>
    <row r="22" spans="2:21" ht="15" thickBot="1" x14ac:dyDescent="0.35">
      <c r="B22" s="46">
        <v>45774</v>
      </c>
      <c r="C22" s="47">
        <v>4059.2</v>
      </c>
      <c r="D22" s="8">
        <f t="shared" si="0"/>
        <v>2.1850770315174635E-2</v>
      </c>
      <c r="F22" s="49">
        <v>24346.7</v>
      </c>
      <c r="G22" s="13">
        <f t="shared" si="1"/>
        <v>1.4107797400866408E-2</v>
      </c>
      <c r="M22" s="51" t="s">
        <v>58</v>
      </c>
      <c r="N22" s="51">
        <v>102</v>
      </c>
      <c r="O22" s="51">
        <v>0.17177634408837891</v>
      </c>
      <c r="P22" s="51"/>
      <c r="Q22" s="51"/>
      <c r="R22" s="51"/>
    </row>
    <row r="23" spans="2:21" ht="15" thickBot="1" x14ac:dyDescent="0.35">
      <c r="B23" s="46">
        <v>45767</v>
      </c>
      <c r="C23" s="47">
        <v>4375.2</v>
      </c>
      <c r="D23" s="8">
        <f t="shared" si="0"/>
        <v>7.7847851793456838E-2</v>
      </c>
      <c r="F23" s="49">
        <v>24039.35</v>
      </c>
      <c r="G23" s="13">
        <f t="shared" si="1"/>
        <v>-1.2623887426222124E-2</v>
      </c>
    </row>
    <row r="24" spans="2:21" x14ac:dyDescent="0.3">
      <c r="B24" s="46">
        <v>45760</v>
      </c>
      <c r="C24" s="47">
        <v>4357.1000000000004</v>
      </c>
      <c r="D24" s="8">
        <f t="shared" si="0"/>
        <v>-4.136953739257509E-3</v>
      </c>
      <c r="F24" s="49">
        <v>23851.65</v>
      </c>
      <c r="G24" s="13">
        <f t="shared" si="1"/>
        <v>-7.8080314151587754E-3</v>
      </c>
      <c r="M24" s="52"/>
      <c r="N24" s="52" t="s">
        <v>65</v>
      </c>
      <c r="O24" s="52" t="s">
        <v>53</v>
      </c>
      <c r="P24" s="52" t="s">
        <v>66</v>
      </c>
      <c r="Q24" s="52" t="s">
        <v>67</v>
      </c>
      <c r="R24" s="52" t="s">
        <v>68</v>
      </c>
      <c r="S24" s="52" t="s">
        <v>69</v>
      </c>
      <c r="T24" s="52" t="s">
        <v>70</v>
      </c>
      <c r="U24" s="52" t="s">
        <v>71</v>
      </c>
    </row>
    <row r="25" spans="2:21" x14ac:dyDescent="0.3">
      <c r="B25" s="46">
        <v>45753</v>
      </c>
      <c r="C25" s="47">
        <v>4131.5</v>
      </c>
      <c r="D25" s="8">
        <f t="shared" si="0"/>
        <v>-5.1777558467788289E-2</v>
      </c>
      <c r="F25" s="49">
        <v>22828.55</v>
      </c>
      <c r="G25" s="13">
        <f t="shared" si="1"/>
        <v>-4.2894307102443734E-2</v>
      </c>
      <c r="M25" t="s">
        <v>59</v>
      </c>
      <c r="N25">
        <v>9.859071817052735E-4</v>
      </c>
      <c r="O25">
        <v>3.6887302287359927E-3</v>
      </c>
      <c r="P25">
        <v>0.26727549063492012</v>
      </c>
      <c r="Q25">
        <v>0.78980205825603722</v>
      </c>
      <c r="R25">
        <v>-6.3315413345778337E-3</v>
      </c>
      <c r="S25">
        <v>8.3033556979883807E-3</v>
      </c>
      <c r="T25">
        <v>-6.3315413345778337E-3</v>
      </c>
      <c r="U25">
        <v>8.3033556979883807E-3</v>
      </c>
    </row>
    <row r="26" spans="2:21" ht="15" thickBot="1" x14ac:dyDescent="0.35">
      <c r="B26" s="46">
        <v>45746</v>
      </c>
      <c r="C26" s="47">
        <v>4039.9</v>
      </c>
      <c r="D26" s="8">
        <f t="shared" si="0"/>
        <v>-2.2171124288999131E-2</v>
      </c>
      <c r="F26" s="49">
        <v>22904.45</v>
      </c>
      <c r="G26" s="13">
        <f t="shared" si="1"/>
        <v>3.324784097106538E-3</v>
      </c>
      <c r="M26" s="51" t="s">
        <v>72</v>
      </c>
      <c r="N26" s="51">
        <v>1.0323078430832033</v>
      </c>
      <c r="O26" s="51">
        <v>0.21230117459314141</v>
      </c>
      <c r="P26" s="51">
        <v>4.8624688255330692</v>
      </c>
      <c r="Q26" s="51">
        <v>4.2668480713620549E-6</v>
      </c>
      <c r="R26" s="51">
        <v>0.61115942107889798</v>
      </c>
      <c r="S26" s="51">
        <v>1.4534562650875087</v>
      </c>
      <c r="T26" s="51">
        <v>0.61115942107889798</v>
      </c>
      <c r="U26" s="51">
        <v>1.4534562650875087</v>
      </c>
    </row>
    <row r="27" spans="2:21" x14ac:dyDescent="0.3">
      <c r="B27" s="46">
        <v>45739</v>
      </c>
      <c r="C27" s="47">
        <v>4083.2</v>
      </c>
      <c r="D27" s="8">
        <f t="shared" si="0"/>
        <v>1.0718087081363332E-2</v>
      </c>
      <c r="F27" s="49">
        <v>23519.35</v>
      </c>
      <c r="G27" s="13">
        <f t="shared" si="1"/>
        <v>2.6846311524616299E-2</v>
      </c>
    </row>
    <row r="28" spans="2:21" x14ac:dyDescent="0.3">
      <c r="B28" s="46">
        <v>45732</v>
      </c>
      <c r="C28" s="47">
        <v>3892.2</v>
      </c>
      <c r="D28" s="8">
        <f t="shared" si="0"/>
        <v>-4.6777037617554862E-2</v>
      </c>
      <c r="F28" s="49">
        <v>23350.400000000001</v>
      </c>
      <c r="G28" s="13">
        <f t="shared" si="1"/>
        <v>-7.1834468214468979E-3</v>
      </c>
    </row>
    <row r="29" spans="2:21" x14ac:dyDescent="0.3">
      <c r="B29" s="46">
        <v>45725</v>
      </c>
      <c r="C29" s="47">
        <v>3797.1</v>
      </c>
      <c r="D29" s="8">
        <f t="shared" si="0"/>
        <v>-2.443348234931399E-2</v>
      </c>
      <c r="F29" s="49">
        <v>22397.200000000001</v>
      </c>
      <c r="G29" s="13">
        <f t="shared" si="1"/>
        <v>-4.0821570508428148E-2</v>
      </c>
    </row>
    <row r="30" spans="2:21" x14ac:dyDescent="0.3">
      <c r="B30" s="46">
        <v>45718</v>
      </c>
      <c r="C30" s="47">
        <v>3593.6</v>
      </c>
      <c r="D30" s="8">
        <f t="shared" si="0"/>
        <v>-5.3593531905928207E-2</v>
      </c>
      <c r="F30" s="49">
        <v>22552.5</v>
      </c>
      <c r="G30" s="13">
        <f t="shared" si="1"/>
        <v>6.9339024520921931E-3</v>
      </c>
    </row>
    <row r="31" spans="2:21" x14ac:dyDescent="0.3">
      <c r="B31" s="46">
        <v>45711</v>
      </c>
      <c r="C31" s="47">
        <v>3403.95</v>
      </c>
      <c r="D31" s="8">
        <f t="shared" si="0"/>
        <v>-5.2774376669634936E-2</v>
      </c>
      <c r="F31" s="49">
        <v>22124.7</v>
      </c>
      <c r="G31" s="13">
        <f t="shared" si="1"/>
        <v>-1.8969072164948423E-2</v>
      </c>
    </row>
    <row r="32" spans="2:21" x14ac:dyDescent="0.3">
      <c r="B32" s="46">
        <v>45704</v>
      </c>
      <c r="C32" s="47">
        <v>3596.7</v>
      </c>
      <c r="D32" s="8">
        <f t="shared" si="0"/>
        <v>5.6625391089763367E-2</v>
      </c>
      <c r="F32" s="49">
        <v>22795.9</v>
      </c>
      <c r="G32" s="13">
        <f t="shared" si="1"/>
        <v>3.0337134514818311E-2</v>
      </c>
    </row>
    <row r="33" spans="2:7" x14ac:dyDescent="0.3">
      <c r="B33" s="46">
        <v>45697</v>
      </c>
      <c r="C33" s="47">
        <v>3682.65</v>
      </c>
      <c r="D33" s="8">
        <f t="shared" si="0"/>
        <v>2.3896905496705392E-2</v>
      </c>
      <c r="F33" s="49">
        <v>22929.25</v>
      </c>
      <c r="G33" s="13">
        <f t="shared" si="1"/>
        <v>5.8497361367613708E-3</v>
      </c>
    </row>
    <row r="34" spans="2:7" x14ac:dyDescent="0.3">
      <c r="B34" s="46">
        <v>45690</v>
      </c>
      <c r="C34" s="47">
        <v>3743.5</v>
      </c>
      <c r="D34" s="8">
        <f t="shared" si="0"/>
        <v>1.6523427423187083E-2</v>
      </c>
      <c r="F34" s="49">
        <v>23559.95</v>
      </c>
      <c r="G34" s="13">
        <f t="shared" si="1"/>
        <v>2.7506351058146285E-2</v>
      </c>
    </row>
    <row r="35" spans="2:7" x14ac:dyDescent="0.3">
      <c r="B35" s="46">
        <v>45683</v>
      </c>
      <c r="C35" s="47">
        <v>3664.65</v>
      </c>
      <c r="D35" s="8">
        <f t="shared" si="0"/>
        <v>-2.1063176172031496E-2</v>
      </c>
      <c r="F35" s="49">
        <v>23508.400000000001</v>
      </c>
      <c r="G35" s="13">
        <f t="shared" si="1"/>
        <v>-2.1880352038098241E-3</v>
      </c>
    </row>
    <row r="36" spans="2:7" x14ac:dyDescent="0.3">
      <c r="B36" s="46">
        <v>45676</v>
      </c>
      <c r="C36" s="47">
        <v>3579.95</v>
      </c>
      <c r="D36" s="8">
        <f t="shared" si="0"/>
        <v>-2.3112711991595453E-2</v>
      </c>
      <c r="F36" s="49">
        <v>23092.2</v>
      </c>
      <c r="G36" s="13">
        <f t="shared" si="1"/>
        <v>-1.7704309948784296E-2</v>
      </c>
    </row>
    <row r="37" spans="2:7" x14ac:dyDescent="0.3">
      <c r="B37" s="46">
        <v>45669</v>
      </c>
      <c r="C37" s="47">
        <v>3620.65</v>
      </c>
      <c r="D37" s="8">
        <f t="shared" si="0"/>
        <v>1.1368873866953526E-2</v>
      </c>
      <c r="F37" s="49">
        <v>23203.200000000001</v>
      </c>
      <c r="G37" s="13">
        <f t="shared" si="1"/>
        <v>4.8068178865590975E-3</v>
      </c>
    </row>
    <row r="38" spans="2:7" x14ac:dyDescent="0.3">
      <c r="B38" s="46">
        <v>45662</v>
      </c>
      <c r="C38" s="47">
        <v>3686.25</v>
      </c>
      <c r="D38" s="8">
        <f t="shared" si="0"/>
        <v>1.8118293676549765E-2</v>
      </c>
      <c r="F38" s="49">
        <v>23431.5</v>
      </c>
      <c r="G38" s="13">
        <f t="shared" si="1"/>
        <v>9.839160115846058E-3</v>
      </c>
    </row>
    <row r="39" spans="2:7" x14ac:dyDescent="0.3">
      <c r="B39" s="46">
        <v>45655</v>
      </c>
      <c r="C39" s="47">
        <v>4025.2</v>
      </c>
      <c r="D39" s="8">
        <f t="shared" si="0"/>
        <v>9.1949813496100319E-2</v>
      </c>
      <c r="F39" s="49">
        <v>24004.75</v>
      </c>
      <c r="G39" s="13">
        <f t="shared" si="1"/>
        <v>2.4464929688666967E-2</v>
      </c>
    </row>
    <row r="40" spans="2:7" x14ac:dyDescent="0.3">
      <c r="B40" s="46">
        <v>45648</v>
      </c>
      <c r="C40" s="47">
        <v>3568.35</v>
      </c>
      <c r="D40" s="8">
        <f t="shared" si="0"/>
        <v>-0.11349746596442412</v>
      </c>
      <c r="F40" s="49">
        <v>23813.4</v>
      </c>
      <c r="G40" s="13">
        <f t="shared" si="1"/>
        <v>-7.9713390058217034E-3</v>
      </c>
    </row>
    <row r="41" spans="2:7" x14ac:dyDescent="0.3">
      <c r="B41" s="46">
        <v>45641</v>
      </c>
      <c r="C41" s="47">
        <v>3408.3</v>
      </c>
      <c r="D41" s="8">
        <f t="shared" si="0"/>
        <v>-4.485266299550205E-2</v>
      </c>
      <c r="F41" s="49">
        <v>23587.5</v>
      </c>
      <c r="G41" s="13">
        <f t="shared" si="1"/>
        <v>-9.486255637582262E-3</v>
      </c>
    </row>
    <row r="42" spans="2:7" x14ac:dyDescent="0.3">
      <c r="B42" s="46">
        <v>45634</v>
      </c>
      <c r="C42" s="47">
        <v>3652.3</v>
      </c>
      <c r="D42" s="8">
        <f t="shared" si="0"/>
        <v>7.1589942199923706E-2</v>
      </c>
      <c r="F42" s="49">
        <v>24768.3</v>
      </c>
      <c r="G42" s="13">
        <f t="shared" si="1"/>
        <v>5.0060413354530972E-2</v>
      </c>
    </row>
    <row r="43" spans="2:7" x14ac:dyDescent="0.3">
      <c r="B43" s="46">
        <v>45627</v>
      </c>
      <c r="C43" s="47">
        <v>3805.55</v>
      </c>
      <c r="D43" s="8">
        <f t="shared" si="0"/>
        <v>4.1959860909563836E-2</v>
      </c>
      <c r="F43" s="49">
        <v>24677.8</v>
      </c>
      <c r="G43" s="13">
        <f t="shared" si="1"/>
        <v>-3.6538640116600654E-3</v>
      </c>
    </row>
    <row r="44" spans="2:7" x14ac:dyDescent="0.3">
      <c r="B44" s="46">
        <v>45620</v>
      </c>
      <c r="C44" s="47">
        <v>3709.6</v>
      </c>
      <c r="D44" s="8">
        <f t="shared" si="0"/>
        <v>-2.5213175493686922E-2</v>
      </c>
      <c r="F44" s="49">
        <v>24131.1</v>
      </c>
      <c r="G44" s="13">
        <f t="shared" si="1"/>
        <v>-2.215351449480913E-2</v>
      </c>
    </row>
    <row r="45" spans="2:7" x14ac:dyDescent="0.3">
      <c r="B45" s="46">
        <v>45613</v>
      </c>
      <c r="C45" s="47">
        <v>3613.65</v>
      </c>
      <c r="D45" s="8">
        <f t="shared" si="0"/>
        <v>-2.5865322406728439E-2</v>
      </c>
      <c r="F45" s="49">
        <v>23907.25</v>
      </c>
      <c r="G45" s="13">
        <f t="shared" si="1"/>
        <v>-9.2764109385812723E-3</v>
      </c>
    </row>
    <row r="46" spans="2:7" x14ac:dyDescent="0.3">
      <c r="B46" s="46">
        <v>45606</v>
      </c>
      <c r="C46" s="47">
        <v>3823.85</v>
      </c>
      <c r="D46" s="8">
        <f t="shared" si="0"/>
        <v>5.8168333955972443E-2</v>
      </c>
      <c r="F46" s="49">
        <v>23532.7</v>
      </c>
      <c r="G46" s="13">
        <f t="shared" si="1"/>
        <v>-1.5666795637306646E-2</v>
      </c>
    </row>
    <row r="47" spans="2:7" x14ac:dyDescent="0.3">
      <c r="B47" s="46">
        <v>45599</v>
      </c>
      <c r="C47" s="47">
        <v>3874.5</v>
      </c>
      <c r="D47" s="8">
        <f t="shared" si="0"/>
        <v>1.3245812466493218E-2</v>
      </c>
      <c r="F47" s="49">
        <v>24148.2</v>
      </c>
      <c r="G47" s="13">
        <f t="shared" si="1"/>
        <v>2.6155094825498135E-2</v>
      </c>
    </row>
    <row r="48" spans="2:7" x14ac:dyDescent="0.3">
      <c r="B48" s="46">
        <v>45592</v>
      </c>
      <c r="C48" s="47">
        <v>4001.6</v>
      </c>
      <c r="D48" s="8">
        <f t="shared" si="0"/>
        <v>3.280423280423278E-2</v>
      </c>
      <c r="F48" s="49">
        <v>24304.35</v>
      </c>
      <c r="G48" s="13">
        <f t="shared" si="1"/>
        <v>6.4663204710909226E-3</v>
      </c>
    </row>
    <row r="49" spans="2:7" x14ac:dyDescent="0.3">
      <c r="B49" s="46">
        <v>45585</v>
      </c>
      <c r="C49" s="47">
        <v>4052.2</v>
      </c>
      <c r="D49" s="8">
        <f t="shared" si="0"/>
        <v>1.2644942023190702E-2</v>
      </c>
      <c r="F49" s="49">
        <v>24180.799999999999</v>
      </c>
      <c r="G49" s="13">
        <f t="shared" si="1"/>
        <v>-5.0834521392260756E-3</v>
      </c>
    </row>
    <row r="50" spans="2:7" x14ac:dyDescent="0.3">
      <c r="B50" s="46">
        <v>45578</v>
      </c>
      <c r="C50" s="47">
        <v>3986.7</v>
      </c>
      <c r="D50" s="8">
        <f t="shared" si="0"/>
        <v>-1.6164059029662899E-2</v>
      </c>
      <c r="F50" s="49">
        <v>24854.05</v>
      </c>
      <c r="G50" s="13">
        <f t="shared" si="1"/>
        <v>2.7842337722490573E-2</v>
      </c>
    </row>
    <row r="51" spans="2:7" x14ac:dyDescent="0.3">
      <c r="B51" s="46">
        <v>45571</v>
      </c>
      <c r="C51" s="47">
        <v>4572.7</v>
      </c>
      <c r="D51" s="8">
        <f t="shared" si="0"/>
        <v>0.14698873755236161</v>
      </c>
      <c r="F51" s="49">
        <v>24964.25</v>
      </c>
      <c r="G51" s="13">
        <f t="shared" si="1"/>
        <v>4.4338850207511745E-3</v>
      </c>
    </row>
    <row r="52" spans="2:7" x14ac:dyDescent="0.3">
      <c r="B52" s="46">
        <v>45564</v>
      </c>
      <c r="C52" s="47">
        <v>4737.55</v>
      </c>
      <c r="D52" s="8">
        <f t="shared" si="0"/>
        <v>3.6050910840422591E-2</v>
      </c>
      <c r="F52" s="49">
        <v>25014.6</v>
      </c>
      <c r="G52" s="13">
        <f t="shared" si="1"/>
        <v>2.0168841443263283E-3</v>
      </c>
    </row>
    <row r="53" spans="2:7" x14ac:dyDescent="0.3">
      <c r="B53" s="46">
        <v>45557</v>
      </c>
      <c r="C53" s="47">
        <v>5102.3</v>
      </c>
      <c r="D53" s="8">
        <f t="shared" si="0"/>
        <v>7.6991271859927601E-2</v>
      </c>
      <c r="F53" s="49">
        <v>26178.95</v>
      </c>
      <c r="G53" s="13">
        <f t="shared" si="1"/>
        <v>4.6546816659071191E-2</v>
      </c>
    </row>
    <row r="54" spans="2:7" x14ac:dyDescent="0.3">
      <c r="B54" s="46">
        <v>45550</v>
      </c>
      <c r="C54" s="47">
        <v>5320.55</v>
      </c>
      <c r="D54" s="8">
        <f t="shared" si="0"/>
        <v>4.2774827038786427E-2</v>
      </c>
      <c r="F54" s="49">
        <v>25790.95</v>
      </c>
      <c r="G54" s="13">
        <f t="shared" si="1"/>
        <v>-1.4821068071866901E-2</v>
      </c>
    </row>
    <row r="55" spans="2:7" x14ac:dyDescent="0.3">
      <c r="B55" s="46">
        <v>45543</v>
      </c>
      <c r="C55" s="47">
        <v>5187.05</v>
      </c>
      <c r="D55" s="8">
        <f t="shared" si="0"/>
        <v>-2.5091390927629662E-2</v>
      </c>
      <c r="F55" s="49">
        <v>25356.5</v>
      </c>
      <c r="G55" s="13">
        <f t="shared" si="1"/>
        <v>-1.6845056114644895E-2</v>
      </c>
    </row>
    <row r="56" spans="2:7" x14ac:dyDescent="0.3">
      <c r="B56" s="46">
        <v>45536</v>
      </c>
      <c r="C56" s="47">
        <v>5303.45</v>
      </c>
      <c r="D56" s="8">
        <f t="shared" si="0"/>
        <v>2.2440500862725369E-2</v>
      </c>
      <c r="F56" s="49">
        <v>24852.15</v>
      </c>
      <c r="G56" s="13">
        <f t="shared" si="1"/>
        <v>-1.9890363417664054E-2</v>
      </c>
    </row>
    <row r="57" spans="2:7" x14ac:dyDescent="0.3">
      <c r="B57" s="46">
        <v>45529</v>
      </c>
      <c r="C57" s="47">
        <v>4927.45</v>
      </c>
      <c r="D57" s="8">
        <f t="shared" si="0"/>
        <v>-7.0897246132234679E-2</v>
      </c>
      <c r="F57" s="49">
        <v>25235.9</v>
      </c>
      <c r="G57" s="13">
        <f t="shared" si="1"/>
        <v>1.5441319966280582E-2</v>
      </c>
    </row>
    <row r="58" spans="2:7" x14ac:dyDescent="0.3">
      <c r="B58" s="46">
        <v>45522</v>
      </c>
      <c r="C58" s="47">
        <v>4901.5</v>
      </c>
      <c r="D58" s="8">
        <f t="shared" si="0"/>
        <v>-5.2664156916863323E-3</v>
      </c>
      <c r="F58" s="49">
        <v>24823.15</v>
      </c>
      <c r="G58" s="13">
        <f t="shared" si="1"/>
        <v>-1.6355667917530185E-2</v>
      </c>
    </row>
    <row r="59" spans="2:7" x14ac:dyDescent="0.3">
      <c r="B59" s="46">
        <v>45515</v>
      </c>
      <c r="C59" s="47">
        <v>5021.3</v>
      </c>
      <c r="D59" s="8">
        <f t="shared" si="0"/>
        <v>2.4441497500765109E-2</v>
      </c>
      <c r="F59" s="49">
        <v>24541.15</v>
      </c>
      <c r="G59" s="13">
        <f t="shared" si="1"/>
        <v>-1.136036320934289E-2</v>
      </c>
    </row>
    <row r="60" spans="2:7" x14ac:dyDescent="0.3">
      <c r="B60" s="46">
        <v>45508</v>
      </c>
      <c r="C60" s="47">
        <v>4989.95</v>
      </c>
      <c r="D60" s="8">
        <f t="shared" si="0"/>
        <v>-6.24340310278222E-3</v>
      </c>
      <c r="F60" s="49">
        <v>24367.5</v>
      </c>
      <c r="G60" s="13">
        <f t="shared" si="1"/>
        <v>-7.0758705276648178E-3</v>
      </c>
    </row>
    <row r="61" spans="2:7" x14ac:dyDescent="0.3">
      <c r="B61" s="46">
        <v>45501</v>
      </c>
      <c r="C61" s="47">
        <v>4909.7</v>
      </c>
      <c r="D61" s="8">
        <f t="shared" si="0"/>
        <v>-1.608232547420315E-2</v>
      </c>
      <c r="F61" s="49">
        <v>24717.7</v>
      </c>
      <c r="G61" s="13">
        <f t="shared" si="1"/>
        <v>1.4371601518415952E-2</v>
      </c>
    </row>
    <row r="62" spans="2:7" x14ac:dyDescent="0.3">
      <c r="B62" s="46">
        <v>45494</v>
      </c>
      <c r="C62" s="47">
        <v>5071.6000000000004</v>
      </c>
      <c r="D62" s="8">
        <f t="shared" si="0"/>
        <v>3.297553822025797E-2</v>
      </c>
      <c r="F62" s="49">
        <v>24834.85</v>
      </c>
      <c r="G62" s="13">
        <f t="shared" si="1"/>
        <v>4.7395186445339903E-3</v>
      </c>
    </row>
    <row r="63" spans="2:7" x14ac:dyDescent="0.3">
      <c r="B63" s="46">
        <v>45487</v>
      </c>
      <c r="C63" s="47">
        <v>5010.7</v>
      </c>
      <c r="D63" s="8">
        <f t="shared" si="0"/>
        <v>-1.2008044798485792E-2</v>
      </c>
      <c r="F63" s="49">
        <v>24530.9</v>
      </c>
      <c r="G63" s="13">
        <f t="shared" si="1"/>
        <v>-1.2238849842056509E-2</v>
      </c>
    </row>
    <row r="64" spans="2:7" x14ac:dyDescent="0.3">
      <c r="B64" s="46">
        <v>45480</v>
      </c>
      <c r="C64" s="47">
        <v>4943.6499999999996</v>
      </c>
      <c r="D64" s="8">
        <f t="shared" si="0"/>
        <v>-1.3381363881294068E-2</v>
      </c>
      <c r="F64" s="49">
        <v>24502.15</v>
      </c>
      <c r="G64" s="13">
        <f t="shared" si="1"/>
        <v>-1.1719912436967254E-3</v>
      </c>
    </row>
    <row r="65" spans="2:7" x14ac:dyDescent="0.3">
      <c r="B65" s="46">
        <v>45473</v>
      </c>
      <c r="C65" s="47">
        <v>4853.1000000000004</v>
      </c>
      <c r="D65" s="8">
        <f t="shared" si="0"/>
        <v>-1.8316426122399296E-2</v>
      </c>
      <c r="F65" s="49">
        <v>24323.85</v>
      </c>
      <c r="G65" s="13">
        <f t="shared" si="1"/>
        <v>-7.2769124342150753E-3</v>
      </c>
    </row>
    <row r="66" spans="2:7" x14ac:dyDescent="0.3">
      <c r="B66" s="46">
        <v>45466</v>
      </c>
      <c r="C66" s="47">
        <v>4716.75</v>
      </c>
      <c r="D66" s="8">
        <f t="shared" si="0"/>
        <v>-2.8095444149100649E-2</v>
      </c>
      <c r="F66" s="49">
        <v>24010.6</v>
      </c>
      <c r="G66" s="13">
        <f t="shared" si="1"/>
        <v>-1.2878306682535865E-2</v>
      </c>
    </row>
    <row r="67" spans="2:7" x14ac:dyDescent="0.3">
      <c r="B67" s="46">
        <v>45459</v>
      </c>
      <c r="C67" s="47">
        <v>4804.8500000000004</v>
      </c>
      <c r="D67" s="8">
        <f t="shared" si="0"/>
        <v>1.867811522764623E-2</v>
      </c>
      <c r="F67" s="49">
        <v>23501.1</v>
      </c>
      <c r="G67" s="13">
        <f t="shared" si="1"/>
        <v>-2.1219794590722433E-2</v>
      </c>
    </row>
    <row r="68" spans="2:7" x14ac:dyDescent="0.3">
      <c r="B68" s="46">
        <v>45452</v>
      </c>
      <c r="C68" s="47">
        <v>4739.95</v>
      </c>
      <c r="D68" s="8">
        <f t="shared" si="0"/>
        <v>-1.3507185448036993E-2</v>
      </c>
      <c r="F68" s="49">
        <v>23465.599999999999</v>
      </c>
      <c r="G68" s="13">
        <f t="shared" si="1"/>
        <v>-1.510567590453213E-3</v>
      </c>
    </row>
    <row r="69" spans="2:7" x14ac:dyDescent="0.3">
      <c r="B69" s="46">
        <v>45445</v>
      </c>
      <c r="C69" s="47">
        <v>4747.25</v>
      </c>
      <c r="D69" s="8">
        <f t="shared" si="0"/>
        <v>1.5401006339729707E-3</v>
      </c>
      <c r="F69" s="49">
        <v>23290.15</v>
      </c>
      <c r="G69" s="13">
        <f t="shared" si="1"/>
        <v>-7.4769023591980217E-3</v>
      </c>
    </row>
    <row r="70" spans="2:7" x14ac:dyDescent="0.3">
      <c r="B70" s="46">
        <v>45438</v>
      </c>
      <c r="C70" s="47">
        <v>4302.1499999999996</v>
      </c>
      <c r="D70" s="8">
        <f t="shared" si="0"/>
        <v>-9.3759544999736766E-2</v>
      </c>
      <c r="F70" s="49">
        <v>22530.7</v>
      </c>
      <c r="G70" s="13">
        <f t="shared" si="1"/>
        <v>-3.2608205614820029E-2</v>
      </c>
    </row>
    <row r="71" spans="2:7" x14ac:dyDescent="0.3">
      <c r="B71" s="46">
        <v>45431</v>
      </c>
      <c r="C71" s="47">
        <v>4684.5</v>
      </c>
      <c r="D71" s="8">
        <f t="shared" si="0"/>
        <v>8.8874167567379189E-2</v>
      </c>
      <c r="F71" s="49">
        <v>22957.1</v>
      </c>
      <c r="G71" s="13">
        <f t="shared" si="1"/>
        <v>1.8925288606212759E-2</v>
      </c>
    </row>
    <row r="72" spans="2:7" x14ac:dyDescent="0.3">
      <c r="B72" s="46">
        <v>45424</v>
      </c>
      <c r="C72" s="47">
        <v>4682.8999999999996</v>
      </c>
      <c r="D72" s="8">
        <f t="shared" ref="D72:D109" si="2">(C72-C71)/C71</f>
        <v>-3.4155192656641344E-4</v>
      </c>
      <c r="F72" s="49">
        <v>22466.1</v>
      </c>
      <c r="G72" s="13">
        <f t="shared" ref="G72:G109" si="3">(F72-F71)/F71</f>
        <v>-2.1387718832082452E-2</v>
      </c>
    </row>
    <row r="73" spans="2:7" x14ac:dyDescent="0.3">
      <c r="B73" s="46">
        <v>45417</v>
      </c>
      <c r="C73" s="47">
        <v>4796.8</v>
      </c>
      <c r="D73" s="8">
        <f t="shared" si="2"/>
        <v>2.4322535181191259E-2</v>
      </c>
      <c r="F73" s="49">
        <v>22055.200000000001</v>
      </c>
      <c r="G73" s="13">
        <f t="shared" si="3"/>
        <v>-1.8289778822314414E-2</v>
      </c>
    </row>
    <row r="74" spans="2:7" x14ac:dyDescent="0.3">
      <c r="B74" s="46">
        <v>45410</v>
      </c>
      <c r="C74" s="47">
        <v>4612.3500000000004</v>
      </c>
      <c r="D74" s="8">
        <f t="shared" si="2"/>
        <v>-3.8452718478985952E-2</v>
      </c>
      <c r="F74" s="49">
        <v>22475.85</v>
      </c>
      <c r="G74" s="13">
        <f t="shared" si="3"/>
        <v>1.9072599659037223E-2</v>
      </c>
    </row>
    <row r="75" spans="2:7" x14ac:dyDescent="0.3">
      <c r="B75" s="46">
        <v>45403</v>
      </c>
      <c r="C75" s="47">
        <v>4553.1499999999996</v>
      </c>
      <c r="D75" s="8">
        <f t="shared" si="2"/>
        <v>-1.2835105748696592E-2</v>
      </c>
      <c r="F75" s="49">
        <v>22419.95</v>
      </c>
      <c r="G75" s="13">
        <f t="shared" si="3"/>
        <v>-2.4871139467471898E-3</v>
      </c>
    </row>
    <row r="76" spans="2:7" x14ac:dyDescent="0.3">
      <c r="B76" s="46">
        <v>45396</v>
      </c>
      <c r="C76" s="47">
        <v>4696</v>
      </c>
      <c r="D76" s="8">
        <f t="shared" si="2"/>
        <v>3.1373884014363765E-2</v>
      </c>
      <c r="F76" s="49">
        <v>22147</v>
      </c>
      <c r="G76" s="13">
        <f t="shared" si="3"/>
        <v>-1.2174425009868475E-2</v>
      </c>
    </row>
    <row r="77" spans="2:7" x14ac:dyDescent="0.3">
      <c r="B77" s="46">
        <v>45389</v>
      </c>
      <c r="C77" s="47">
        <v>4765.05</v>
      </c>
      <c r="D77" s="8">
        <f t="shared" si="2"/>
        <v>1.4704003407155065E-2</v>
      </c>
      <c r="F77" s="49">
        <v>22519.4</v>
      </c>
      <c r="G77" s="13">
        <f t="shared" si="3"/>
        <v>1.6814918499119584E-2</v>
      </c>
    </row>
    <row r="78" spans="2:7" x14ac:dyDescent="0.3">
      <c r="B78" s="46">
        <v>45382</v>
      </c>
      <c r="C78" s="47">
        <v>4619.25</v>
      </c>
      <c r="D78" s="8">
        <f t="shared" si="2"/>
        <v>-3.0597790159599621E-2</v>
      </c>
      <c r="F78" s="49">
        <v>22513.7</v>
      </c>
      <c r="G78" s="13">
        <f t="shared" si="3"/>
        <v>-2.5311509187637006E-4</v>
      </c>
    </row>
    <row r="79" spans="2:7" x14ac:dyDescent="0.3">
      <c r="B79" s="46">
        <v>45375</v>
      </c>
      <c r="C79" s="47">
        <v>4525.6000000000004</v>
      </c>
      <c r="D79" s="8">
        <f t="shared" si="2"/>
        <v>-2.0273853980624482E-2</v>
      </c>
      <c r="F79" s="49">
        <v>22326.9</v>
      </c>
      <c r="G79" s="13">
        <f t="shared" si="3"/>
        <v>-8.2971701674979803E-3</v>
      </c>
    </row>
    <row r="80" spans="2:7" x14ac:dyDescent="0.3">
      <c r="B80" s="46">
        <v>45368</v>
      </c>
      <c r="C80" s="47">
        <v>4297.6000000000004</v>
      </c>
      <c r="D80" s="8">
        <f t="shared" si="2"/>
        <v>-5.0380060102527838E-2</v>
      </c>
      <c r="F80" s="49">
        <v>22096.75</v>
      </c>
      <c r="G80" s="13">
        <f t="shared" si="3"/>
        <v>-1.0308193255669234E-2</v>
      </c>
    </row>
    <row r="81" spans="2:7" x14ac:dyDescent="0.3">
      <c r="B81" s="46">
        <v>45361</v>
      </c>
      <c r="C81" s="47">
        <v>3932.1</v>
      </c>
      <c r="D81" s="8">
        <f t="shared" si="2"/>
        <v>-8.5047468354430472E-2</v>
      </c>
      <c r="F81" s="49">
        <v>22023.35</v>
      </c>
      <c r="G81" s="13">
        <f t="shared" si="3"/>
        <v>-3.3217554617761191E-3</v>
      </c>
    </row>
    <row r="82" spans="2:7" x14ac:dyDescent="0.3">
      <c r="B82" s="46">
        <v>45354</v>
      </c>
      <c r="C82" s="47">
        <v>3925.95</v>
      </c>
      <c r="D82" s="8">
        <f t="shared" si="2"/>
        <v>-1.5640497444114063E-3</v>
      </c>
      <c r="F82" s="49">
        <v>22493.55</v>
      </c>
      <c r="G82" s="13">
        <f t="shared" si="3"/>
        <v>2.1350067087886299E-2</v>
      </c>
    </row>
    <row r="83" spans="2:7" x14ac:dyDescent="0.3">
      <c r="B83" s="46">
        <v>45347</v>
      </c>
      <c r="C83" s="47">
        <v>3884.15</v>
      </c>
      <c r="D83" s="8">
        <f t="shared" si="2"/>
        <v>-1.0647104522472198E-2</v>
      </c>
      <c r="F83" s="49">
        <v>22338.75</v>
      </c>
      <c r="G83" s="13">
        <f t="shared" si="3"/>
        <v>-6.881972832211869E-3</v>
      </c>
    </row>
    <row r="84" spans="2:7" x14ac:dyDescent="0.3">
      <c r="B84" s="46">
        <v>45340</v>
      </c>
      <c r="C84" s="47">
        <v>3840.55</v>
      </c>
      <c r="D84" s="8">
        <f t="shared" si="2"/>
        <v>-1.1225107166304059E-2</v>
      </c>
      <c r="F84" s="49">
        <v>22212.7</v>
      </c>
      <c r="G84" s="13">
        <f t="shared" si="3"/>
        <v>-5.6426612948351756E-3</v>
      </c>
    </row>
    <row r="85" spans="2:7" x14ac:dyDescent="0.3">
      <c r="B85" s="46">
        <v>45333</v>
      </c>
      <c r="C85" s="47">
        <v>3693.3</v>
      </c>
      <c r="D85" s="8">
        <f t="shared" si="2"/>
        <v>-3.8340862636861907E-2</v>
      </c>
      <c r="F85" s="49">
        <v>22040.7</v>
      </c>
      <c r="G85" s="13">
        <f t="shared" si="3"/>
        <v>-7.7433180117680422E-3</v>
      </c>
    </row>
    <row r="86" spans="2:7" x14ac:dyDescent="0.3">
      <c r="B86" s="46">
        <v>45326</v>
      </c>
      <c r="C86" s="47">
        <v>3719.2</v>
      </c>
      <c r="D86" s="8">
        <f t="shared" si="2"/>
        <v>7.0126986705655201E-3</v>
      </c>
      <c r="F86" s="49">
        <v>21782.5</v>
      </c>
      <c r="G86" s="13">
        <f t="shared" si="3"/>
        <v>-1.1714691457167909E-2</v>
      </c>
    </row>
    <row r="87" spans="2:7" x14ac:dyDescent="0.3">
      <c r="B87" s="46">
        <v>45319</v>
      </c>
      <c r="C87" s="47">
        <v>3784.3</v>
      </c>
      <c r="D87" s="8">
        <f t="shared" si="2"/>
        <v>1.7503764250376523E-2</v>
      </c>
      <c r="F87" s="49">
        <v>21853.8</v>
      </c>
      <c r="G87" s="13">
        <f t="shared" si="3"/>
        <v>3.2732698266957085E-3</v>
      </c>
    </row>
    <row r="88" spans="2:7" x14ac:dyDescent="0.3">
      <c r="B88" s="46">
        <v>45312</v>
      </c>
      <c r="C88" s="47">
        <v>3734.25</v>
      </c>
      <c r="D88" s="8">
        <f t="shared" si="2"/>
        <v>-1.322569563723811E-2</v>
      </c>
      <c r="F88" s="49">
        <v>21352.6</v>
      </c>
      <c r="G88" s="13">
        <f t="shared" si="3"/>
        <v>-2.293422654183715E-2</v>
      </c>
    </row>
    <row r="89" spans="2:7" x14ac:dyDescent="0.3">
      <c r="B89" s="46">
        <v>45305</v>
      </c>
      <c r="C89" s="47">
        <v>3731.7</v>
      </c>
      <c r="D89" s="8">
        <f t="shared" si="2"/>
        <v>-6.828680457923765E-4</v>
      </c>
      <c r="F89" s="49">
        <v>21622.400000000001</v>
      </c>
      <c r="G89" s="13">
        <f t="shared" si="3"/>
        <v>1.2635463596939152E-2</v>
      </c>
    </row>
    <row r="90" spans="2:7" x14ac:dyDescent="0.3">
      <c r="B90" s="46">
        <v>45298</v>
      </c>
      <c r="C90" s="47">
        <v>3841</v>
      </c>
      <c r="D90" s="8">
        <f t="shared" si="2"/>
        <v>2.928959991424825E-2</v>
      </c>
      <c r="F90" s="49">
        <v>21894.55</v>
      </c>
      <c r="G90" s="13">
        <f t="shared" si="3"/>
        <v>1.2586484386561982E-2</v>
      </c>
    </row>
    <row r="91" spans="2:7" x14ac:dyDescent="0.3">
      <c r="B91" s="46">
        <v>45291</v>
      </c>
      <c r="C91" s="47">
        <v>3863.5</v>
      </c>
      <c r="D91" s="8">
        <f t="shared" si="2"/>
        <v>5.8578495183545954E-3</v>
      </c>
      <c r="F91" s="49">
        <v>21710.799999999999</v>
      </c>
      <c r="G91" s="13">
        <f t="shared" si="3"/>
        <v>-8.3924995033010496E-3</v>
      </c>
    </row>
    <row r="92" spans="2:7" x14ac:dyDescent="0.3">
      <c r="B92" s="46">
        <v>45284</v>
      </c>
      <c r="C92" s="47">
        <v>4082.65</v>
      </c>
      <c r="D92" s="8">
        <f t="shared" si="2"/>
        <v>5.6723178465122322E-2</v>
      </c>
      <c r="F92" s="49">
        <v>21731.4</v>
      </c>
      <c r="G92" s="13">
        <f t="shared" si="3"/>
        <v>9.4883652375786173E-4</v>
      </c>
    </row>
    <row r="93" spans="2:7" x14ac:dyDescent="0.3">
      <c r="B93" s="46">
        <v>45277</v>
      </c>
      <c r="C93" s="47">
        <v>4007.95</v>
      </c>
      <c r="D93" s="8">
        <f t="shared" si="2"/>
        <v>-1.8296939487832724E-2</v>
      </c>
      <c r="F93" s="49">
        <v>21349.4</v>
      </c>
      <c r="G93" s="13">
        <f t="shared" si="3"/>
        <v>-1.7578250825993721E-2</v>
      </c>
    </row>
    <row r="94" spans="2:7" x14ac:dyDescent="0.3">
      <c r="B94" s="46">
        <v>45270</v>
      </c>
      <c r="C94" s="47">
        <v>4045.65</v>
      </c>
      <c r="D94" s="8">
        <f t="shared" si="2"/>
        <v>9.4063049688744311E-3</v>
      </c>
      <c r="F94" s="49">
        <v>21456.65</v>
      </c>
      <c r="G94" s="13">
        <f t="shared" si="3"/>
        <v>5.0235603810879926E-3</v>
      </c>
    </row>
    <row r="95" spans="2:7" x14ac:dyDescent="0.3">
      <c r="B95" s="46">
        <v>45263</v>
      </c>
      <c r="C95" s="47">
        <v>4070.65</v>
      </c>
      <c r="D95" s="8">
        <f t="shared" si="2"/>
        <v>6.1794767219111885E-3</v>
      </c>
      <c r="F95" s="49">
        <v>20969.400000000001</v>
      </c>
      <c r="G95" s="13">
        <f t="shared" si="3"/>
        <v>-2.2708577527246795E-2</v>
      </c>
    </row>
    <row r="96" spans="2:7" x14ac:dyDescent="0.3">
      <c r="B96" s="46">
        <v>45256</v>
      </c>
      <c r="C96" s="47">
        <v>3988.4</v>
      </c>
      <c r="D96" s="8">
        <f t="shared" si="2"/>
        <v>-2.0205618267352881E-2</v>
      </c>
      <c r="F96" s="49">
        <v>20267.900000000001</v>
      </c>
      <c r="G96" s="13">
        <f t="shared" si="3"/>
        <v>-3.3453508445639837E-2</v>
      </c>
    </row>
    <row r="97" spans="2:7" x14ac:dyDescent="0.3">
      <c r="B97" s="46">
        <v>45249</v>
      </c>
      <c r="C97" s="47">
        <v>3842.9</v>
      </c>
      <c r="D97" s="8">
        <f t="shared" si="2"/>
        <v>-3.6480794303480092E-2</v>
      </c>
      <c r="F97" s="49">
        <v>19794.7</v>
      </c>
      <c r="G97" s="13">
        <f t="shared" si="3"/>
        <v>-2.334726340666772E-2</v>
      </c>
    </row>
    <row r="98" spans="2:7" x14ac:dyDescent="0.3">
      <c r="B98" s="46">
        <v>45242</v>
      </c>
      <c r="C98" s="47">
        <v>3810.9</v>
      </c>
      <c r="D98" s="8">
        <f t="shared" si="2"/>
        <v>-8.3270446797991098E-3</v>
      </c>
      <c r="F98" s="49">
        <v>19731.8</v>
      </c>
      <c r="G98" s="13">
        <f t="shared" si="3"/>
        <v>-3.1776182513501821E-3</v>
      </c>
    </row>
    <row r="99" spans="2:7" x14ac:dyDescent="0.3">
      <c r="B99" s="46">
        <v>45235</v>
      </c>
      <c r="C99" s="47">
        <v>3798.4</v>
      </c>
      <c r="D99" s="8">
        <f t="shared" si="2"/>
        <v>-3.2800650764911177E-3</v>
      </c>
      <c r="F99" s="49">
        <v>19425.349999999999</v>
      </c>
      <c r="G99" s="13">
        <f t="shared" si="3"/>
        <v>-1.5530767593427905E-2</v>
      </c>
    </row>
    <row r="100" spans="2:7" x14ac:dyDescent="0.3">
      <c r="B100" s="46">
        <v>45228</v>
      </c>
      <c r="C100" s="47">
        <v>3649.7</v>
      </c>
      <c r="D100" s="8">
        <f t="shared" si="2"/>
        <v>-3.9148062342038825E-2</v>
      </c>
      <c r="F100" s="49">
        <v>19230.599999999999</v>
      </c>
      <c r="G100" s="13">
        <f t="shared" si="3"/>
        <v>-1.0025559385030386E-2</v>
      </c>
    </row>
    <row r="101" spans="2:7" x14ac:dyDescent="0.3">
      <c r="B101" s="46">
        <v>45221</v>
      </c>
      <c r="C101" s="47">
        <v>3665.45</v>
      </c>
      <c r="D101" s="8">
        <f t="shared" si="2"/>
        <v>4.3154231854672992E-3</v>
      </c>
      <c r="F101" s="49">
        <v>19047.25</v>
      </c>
      <c r="G101" s="13">
        <f t="shared" si="3"/>
        <v>-9.5342839016982605E-3</v>
      </c>
    </row>
    <row r="102" spans="2:7" x14ac:dyDescent="0.3">
      <c r="B102" s="46">
        <v>45214</v>
      </c>
      <c r="C102" s="47">
        <v>3749.5</v>
      </c>
      <c r="D102" s="8">
        <f t="shared" si="2"/>
        <v>2.2930335975119068E-2</v>
      </c>
      <c r="F102" s="49">
        <v>19542.650000000001</v>
      </c>
      <c r="G102" s="13">
        <f t="shared" si="3"/>
        <v>2.6009003924451112E-2</v>
      </c>
    </row>
    <row r="103" spans="2:7" x14ac:dyDescent="0.3">
      <c r="B103" s="46">
        <v>45207</v>
      </c>
      <c r="C103" s="47">
        <v>3935.85</v>
      </c>
      <c r="D103" s="8">
        <f t="shared" si="2"/>
        <v>4.9699959994665928E-2</v>
      </c>
      <c r="F103" s="49">
        <v>19751.05</v>
      </c>
      <c r="G103" s="13">
        <f t="shared" si="3"/>
        <v>1.0663855720692833E-2</v>
      </c>
    </row>
    <row r="104" spans="2:7" x14ac:dyDescent="0.3">
      <c r="B104" s="46">
        <v>45200</v>
      </c>
      <c r="C104" s="47">
        <v>3833.95</v>
      </c>
      <c r="D104" s="8">
        <f t="shared" si="2"/>
        <v>-2.5890214312029192E-2</v>
      </c>
      <c r="F104" s="49">
        <v>19653.5</v>
      </c>
      <c r="G104" s="13">
        <f t="shared" si="3"/>
        <v>-4.9389779277557028E-3</v>
      </c>
    </row>
    <row r="105" spans="2:7" x14ac:dyDescent="0.3">
      <c r="B105" s="46">
        <v>45193</v>
      </c>
      <c r="C105" s="47">
        <v>3675.6</v>
      </c>
      <c r="D105" s="8">
        <f t="shared" si="2"/>
        <v>-4.1302051409121118E-2</v>
      </c>
      <c r="F105" s="49">
        <v>19638.3</v>
      </c>
      <c r="G105" s="13">
        <f t="shared" si="3"/>
        <v>-7.733991401023089E-4</v>
      </c>
    </row>
    <row r="106" spans="2:7" x14ac:dyDescent="0.3">
      <c r="B106" s="46">
        <v>45186</v>
      </c>
      <c r="C106" s="47">
        <v>3689.1</v>
      </c>
      <c r="D106" s="8">
        <f t="shared" si="2"/>
        <v>3.6728697355533791E-3</v>
      </c>
      <c r="F106" s="49">
        <v>19674.25</v>
      </c>
      <c r="G106" s="13">
        <f t="shared" si="3"/>
        <v>1.8306065188942388E-3</v>
      </c>
    </row>
    <row r="107" spans="2:7" x14ac:dyDescent="0.3">
      <c r="B107" s="46">
        <v>45179</v>
      </c>
      <c r="C107" s="47">
        <v>3796</v>
      </c>
      <c r="D107" s="8">
        <f t="shared" si="2"/>
        <v>2.8977257325635004E-2</v>
      </c>
      <c r="F107" s="49">
        <v>20192.349999999999</v>
      </c>
      <c r="G107" s="13">
        <f t="shared" si="3"/>
        <v>2.633391361805398E-2</v>
      </c>
    </row>
    <row r="108" spans="2:7" x14ac:dyDescent="0.3">
      <c r="B108" s="46">
        <v>45172</v>
      </c>
      <c r="C108" s="47">
        <v>3782.4</v>
      </c>
      <c r="D108" s="8">
        <f t="shared" si="2"/>
        <v>-3.582718651211778E-3</v>
      </c>
      <c r="F108" s="49">
        <v>19819.95</v>
      </c>
      <c r="G108" s="13">
        <f t="shared" si="3"/>
        <v>-1.8442628024969744E-2</v>
      </c>
    </row>
    <row r="109" spans="2:7" x14ac:dyDescent="0.3">
      <c r="B109" s="48">
        <v>45165</v>
      </c>
      <c r="C109" s="47">
        <v>3761.05</v>
      </c>
      <c r="D109" s="8">
        <f t="shared" si="2"/>
        <v>-5.6445642978003143E-3</v>
      </c>
      <c r="F109" s="50">
        <v>19435.3</v>
      </c>
      <c r="G109" s="13">
        <f t="shared" si="3"/>
        <v>-1.9407213438984529E-2</v>
      </c>
    </row>
  </sheetData>
  <mergeCells count="3">
    <mergeCell ref="B3:D3"/>
    <mergeCell ref="F3:G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FAD0-2006-4DD8-B7EF-99100E46853B}">
  <dimension ref="B2:I4"/>
  <sheetViews>
    <sheetView showGridLines="0" workbookViewId="0">
      <selection activeCell="E4" sqref="E4"/>
    </sheetView>
  </sheetViews>
  <sheetFormatPr defaultRowHeight="14.4" x14ac:dyDescent="0.3"/>
  <cols>
    <col min="1" max="1" width="1.88671875" customWidth="1"/>
  </cols>
  <sheetData>
    <row r="2" spans="2:9" x14ac:dyDescent="0.3">
      <c r="B2" s="81" t="s">
        <v>89</v>
      </c>
      <c r="C2" s="82"/>
      <c r="D2" s="82"/>
      <c r="E2" s="82"/>
      <c r="F2" s="82"/>
      <c r="G2" s="82"/>
      <c r="H2" s="82"/>
      <c r="I2" s="82"/>
    </row>
    <row r="4" spans="2:9" x14ac:dyDescent="0.3">
      <c r="B4" t="s">
        <v>90</v>
      </c>
    </row>
  </sheetData>
  <mergeCells count="1"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F8DD-ABC4-454D-A8A6-30DCAB94DC88}">
  <dimension ref="A2:J36"/>
  <sheetViews>
    <sheetView showGridLines="0" tabSelected="1" topLeftCell="A10" workbookViewId="0">
      <selection sqref="A1:I35"/>
    </sheetView>
  </sheetViews>
  <sheetFormatPr defaultRowHeight="14.4" x14ac:dyDescent="0.3"/>
  <cols>
    <col min="1" max="1" width="1.88671875" customWidth="1"/>
  </cols>
  <sheetData>
    <row r="2" spans="2:10" x14ac:dyDescent="0.3">
      <c r="B2" s="94" t="s">
        <v>89</v>
      </c>
      <c r="C2" s="94"/>
      <c r="D2" s="94"/>
      <c r="E2" s="95">
        <f>'Data Room&gt;'!I1</f>
        <v>44256</v>
      </c>
      <c r="F2" s="95">
        <f>'Data Room&gt;'!J1</f>
        <v>44621</v>
      </c>
      <c r="G2" s="95">
        <f>'Data Room&gt;'!K1</f>
        <v>44986</v>
      </c>
      <c r="H2" s="95">
        <f>'Data Room&gt;'!L1</f>
        <v>45352</v>
      </c>
      <c r="I2" s="95">
        <f>'Data Room&gt;'!M1</f>
        <v>45717</v>
      </c>
      <c r="J2" s="93"/>
    </row>
    <row r="4" spans="2:10" x14ac:dyDescent="0.3">
      <c r="B4" s="45" t="s">
        <v>90</v>
      </c>
    </row>
    <row r="5" spans="2:10" x14ac:dyDescent="0.3">
      <c r="B5" s="85" t="str">
        <f>'Data Room&gt;'!A32</f>
        <v>Inventories</v>
      </c>
      <c r="C5" s="85"/>
      <c r="D5" s="85"/>
      <c r="E5" s="85">
        <f>'Data Room&gt;'!I32</f>
        <v>3799</v>
      </c>
      <c r="F5" s="85">
        <f>'Data Room&gt;'!J32</f>
        <v>6153</v>
      </c>
      <c r="G5" s="85">
        <f>'Data Room&gt;'!K32</f>
        <v>6211</v>
      </c>
      <c r="H5" s="85">
        <f>'Data Room&gt;'!L32</f>
        <v>5923</v>
      </c>
      <c r="I5" s="85">
        <f>'Data Room&gt;'!M32</f>
        <v>6719</v>
      </c>
    </row>
    <row r="6" spans="2:10" x14ac:dyDescent="0.3">
      <c r="B6" s="85" t="str">
        <f>'Data Room&gt;'!A33</f>
        <v>Trade receivables -</v>
      </c>
      <c r="C6" s="85"/>
      <c r="D6" s="85"/>
      <c r="E6" s="85">
        <f>'Data Room&gt;'!I33</f>
        <v>2602</v>
      </c>
      <c r="F6" s="85">
        <f>'Data Room&gt;'!J33</f>
        <v>3871</v>
      </c>
      <c r="G6" s="85">
        <f>'Data Room&gt;'!K33</f>
        <v>4637</v>
      </c>
      <c r="H6" s="85">
        <f>'Data Room&gt;'!L33</f>
        <v>4889</v>
      </c>
      <c r="I6" s="85">
        <f>'Data Room&gt;'!M33</f>
        <v>4314</v>
      </c>
    </row>
    <row r="7" spans="2:10" x14ac:dyDescent="0.3">
      <c r="B7" s="85" t="str">
        <f>'Data Room&gt;'!A34</f>
        <v>Prov for Doubtful</v>
      </c>
      <c r="C7" s="85"/>
      <c r="D7" s="85"/>
      <c r="E7" s="85">
        <f>'Data Room&gt;'!I34</f>
        <v>-185</v>
      </c>
      <c r="F7" s="85">
        <f>'Data Room&gt;'!J34</f>
        <v>-241</v>
      </c>
      <c r="G7" s="85">
        <f>'Data Room&gt;'!K34</f>
        <v>-305</v>
      </c>
      <c r="H7" s="85">
        <f>'Data Room&gt;'!L34</f>
        <v>-422</v>
      </c>
      <c r="I7" s="85">
        <f>'Data Room&gt;'!M34</f>
        <v>-663</v>
      </c>
    </row>
    <row r="8" spans="2:10" x14ac:dyDescent="0.3">
      <c r="B8" s="85" t="str">
        <f>'Data Room&gt;'!A36</f>
        <v>Loans n Advances</v>
      </c>
      <c r="C8" s="85"/>
      <c r="D8" s="85"/>
      <c r="E8" s="85">
        <f>'Data Room&gt;'!I36</f>
        <v>11</v>
      </c>
      <c r="F8" s="85">
        <f>'Data Room&gt;'!J36</f>
        <v>8</v>
      </c>
      <c r="G8" s="85">
        <f>'Data Room&gt;'!K36</f>
        <v>12</v>
      </c>
      <c r="H8" s="85">
        <f>'Data Room&gt;'!L36</f>
        <v>17</v>
      </c>
      <c r="I8" s="85">
        <f>'Data Room&gt;'!M36</f>
        <v>22</v>
      </c>
    </row>
    <row r="9" spans="2:10" ht="15" thickBot="1" x14ac:dyDescent="0.35">
      <c r="B9" s="10" t="str">
        <f>'Data Room&gt;'!A37</f>
        <v>Other asset items</v>
      </c>
      <c r="C9" s="10"/>
      <c r="D9" s="10"/>
      <c r="E9" s="10">
        <f>'Data Room&gt;'!I37</f>
        <v>2555</v>
      </c>
      <c r="F9" s="10">
        <f>'Data Room&gt;'!J37</f>
        <v>2869</v>
      </c>
      <c r="G9" s="10">
        <f>'Data Room&gt;'!K37</f>
        <v>3024</v>
      </c>
      <c r="H9" s="10">
        <f>'Data Room&gt;'!L37</f>
        <v>3555</v>
      </c>
      <c r="I9" s="10">
        <f>'Data Room&gt;'!M37</f>
        <v>3319</v>
      </c>
    </row>
    <row r="10" spans="2:10" x14ac:dyDescent="0.3">
      <c r="B10" s="96" t="s">
        <v>126</v>
      </c>
      <c r="C10" s="97"/>
      <c r="D10" s="97"/>
      <c r="E10" s="96">
        <f>SUM(E5:E9)</f>
        <v>8782</v>
      </c>
      <c r="F10" s="96">
        <f t="shared" ref="F10:I10" si="0">SUM(F5:F9)</f>
        <v>12660</v>
      </c>
      <c r="G10" s="96">
        <f t="shared" si="0"/>
        <v>13579</v>
      </c>
      <c r="H10" s="96">
        <f t="shared" si="0"/>
        <v>13962</v>
      </c>
      <c r="I10" s="96">
        <f t="shared" si="0"/>
        <v>13711</v>
      </c>
    </row>
    <row r="13" spans="2:10" x14ac:dyDescent="0.3">
      <c r="B13" s="45" t="s">
        <v>127</v>
      </c>
    </row>
    <row r="14" spans="2:10" x14ac:dyDescent="0.3">
      <c r="B14" s="85" t="str">
        <f>'Data Room&gt;'!A11</f>
        <v>Trade Payables</v>
      </c>
      <c r="C14" s="85"/>
      <c r="D14" s="85"/>
      <c r="E14" s="85">
        <f>'Data Room&gt;'!I11</f>
        <v>3379</v>
      </c>
      <c r="F14" s="85">
        <f>'Data Room&gt;'!J11</f>
        <v>4164</v>
      </c>
      <c r="G14" s="85">
        <f>'Data Room&gt;'!K11</f>
        <v>3635</v>
      </c>
      <c r="H14" s="85">
        <f>'Data Room&gt;'!L11</f>
        <v>3831</v>
      </c>
      <c r="I14" s="85">
        <f>'Data Room&gt;'!M11</f>
        <v>3848</v>
      </c>
    </row>
    <row r="15" spans="2:10" x14ac:dyDescent="0.3">
      <c r="B15" s="85" t="str">
        <f>'Data Room&gt;'!A12</f>
        <v>Advance from Customers</v>
      </c>
      <c r="C15" s="85"/>
      <c r="D15" s="85"/>
      <c r="E15" s="85">
        <f>'Data Room&gt;'!I12</f>
        <v>41</v>
      </c>
      <c r="F15" s="85">
        <f>'Data Room&gt;'!J12</f>
        <v>76</v>
      </c>
      <c r="G15" s="85">
        <f>'Data Room&gt;'!K12</f>
        <v>108</v>
      </c>
      <c r="H15" s="85">
        <f>'Data Room&gt;'!L12</f>
        <v>154</v>
      </c>
      <c r="I15" s="85">
        <f>'Data Room&gt;'!M12</f>
        <v>173</v>
      </c>
    </row>
    <row r="16" spans="2:10" ht="15" thickBot="1" x14ac:dyDescent="0.35">
      <c r="B16" s="10" t="str">
        <f>'Data Room&gt;'!A13</f>
        <v>Other liability items</v>
      </c>
      <c r="C16" s="10"/>
      <c r="D16" s="10"/>
      <c r="E16" s="10">
        <f>'Data Room&gt;'!I13</f>
        <v>2613</v>
      </c>
      <c r="F16" s="10">
        <f>'Data Room&gt;'!J13</f>
        <v>2932</v>
      </c>
      <c r="G16" s="10">
        <f>'Data Room&gt;'!K13</f>
        <v>3657</v>
      </c>
      <c r="H16" s="10">
        <f>'Data Room&gt;'!L13</f>
        <v>4017</v>
      </c>
      <c r="I16" s="10">
        <f>'Data Room&gt;'!M13</f>
        <v>3985</v>
      </c>
    </row>
    <row r="17" spans="1:9" x14ac:dyDescent="0.3">
      <c r="B17" s="96" t="s">
        <v>128</v>
      </c>
      <c r="C17" s="97"/>
      <c r="D17" s="97"/>
      <c r="E17" s="96">
        <f>SUM(E14:E16)</f>
        <v>6033</v>
      </c>
      <c r="F17" s="96">
        <f t="shared" ref="F17:I17" si="1">SUM(F14:F16)</f>
        <v>7172</v>
      </c>
      <c r="G17" s="96">
        <f t="shared" si="1"/>
        <v>7400</v>
      </c>
      <c r="H17" s="96">
        <f t="shared" si="1"/>
        <v>8002</v>
      </c>
      <c r="I17" s="96">
        <f t="shared" si="1"/>
        <v>8006</v>
      </c>
    </row>
    <row r="19" spans="1:9" ht="15" thickBot="1" x14ac:dyDescent="0.35">
      <c r="A19" t="s">
        <v>130</v>
      </c>
      <c r="B19" s="98" t="s">
        <v>129</v>
      </c>
      <c r="C19" s="99"/>
      <c r="D19" s="99"/>
      <c r="E19" s="99">
        <f>E10-E17</f>
        <v>2749</v>
      </c>
      <c r="F19" s="99">
        <f t="shared" ref="F19:I19" si="2">F10-F17</f>
        <v>5488</v>
      </c>
      <c r="G19" s="99">
        <f t="shared" si="2"/>
        <v>6179</v>
      </c>
      <c r="H19" s="99">
        <f t="shared" si="2"/>
        <v>5960</v>
      </c>
      <c r="I19" s="99">
        <f t="shared" si="2"/>
        <v>5705</v>
      </c>
    </row>
    <row r="21" spans="1:9" x14ac:dyDescent="0.3">
      <c r="B21" s="45" t="s">
        <v>131</v>
      </c>
    </row>
    <row r="22" spans="1:9" x14ac:dyDescent="0.3">
      <c r="B22" s="85" t="str">
        <f>'Data Room&gt;'!A16</f>
        <v>Land</v>
      </c>
      <c r="C22" s="85"/>
      <c r="D22" s="85"/>
      <c r="E22" s="85">
        <f>'Data Room&gt;'!I16</f>
        <v>644</v>
      </c>
      <c r="F22" s="85">
        <f>'Data Room&gt;'!J16</f>
        <v>644</v>
      </c>
      <c r="G22" s="85">
        <f>'Data Room&gt;'!K16</f>
        <v>804</v>
      </c>
      <c r="H22" s="85">
        <f>'Data Room&gt;'!L16</f>
        <v>1126</v>
      </c>
      <c r="I22" s="85">
        <f>'Data Room&gt;'!M16</f>
        <v>1050</v>
      </c>
    </row>
    <row r="23" spans="1:9" x14ac:dyDescent="0.3">
      <c r="B23" s="85" t="str">
        <f>'Data Room&gt;'!A17</f>
        <v>Building</v>
      </c>
      <c r="C23" s="85"/>
      <c r="D23" s="85"/>
      <c r="E23" s="85">
        <f>'Data Room&gt;'!I17</f>
        <v>2249</v>
      </c>
      <c r="F23" s="85">
        <f>'Data Room&gt;'!J17</f>
        <v>2325</v>
      </c>
      <c r="G23" s="85">
        <f>'Data Room&gt;'!K17</f>
        <v>2883</v>
      </c>
      <c r="H23" s="85">
        <f>'Data Room&gt;'!L17</f>
        <v>3390</v>
      </c>
      <c r="I23" s="85">
        <f>'Data Room&gt;'!M17</f>
        <v>4136</v>
      </c>
    </row>
    <row r="24" spans="1:9" x14ac:dyDescent="0.3">
      <c r="B24" s="85" t="str">
        <f>'Data Room&gt;'!A18</f>
        <v>Plant Machinery</v>
      </c>
      <c r="C24" s="85"/>
      <c r="D24" s="85"/>
      <c r="E24" s="85">
        <f>'Data Room&gt;'!I18</f>
        <v>4340</v>
      </c>
      <c r="F24" s="85">
        <f>'Data Room&gt;'!J18</f>
        <v>4531</v>
      </c>
      <c r="G24" s="85">
        <f>'Data Room&gt;'!K18</f>
        <v>4825</v>
      </c>
      <c r="H24" s="85">
        <f>'Data Room&gt;'!L18</f>
        <v>5422</v>
      </c>
      <c r="I24" s="85">
        <f>'Data Room&gt;'!M18</f>
        <v>7576</v>
      </c>
    </row>
    <row r="25" spans="1:9" x14ac:dyDescent="0.3">
      <c r="B25" s="85" t="str">
        <f>'Data Room&gt;'!A19</f>
        <v>Equipments</v>
      </c>
      <c r="C25" s="85"/>
      <c r="D25" s="85"/>
      <c r="E25" s="85">
        <f>'Data Room&gt;'!I19</f>
        <v>243</v>
      </c>
      <c r="F25" s="85">
        <f>'Data Room&gt;'!J19</f>
        <v>253</v>
      </c>
      <c r="G25" s="85">
        <f>'Data Room&gt;'!K19</f>
        <v>270</v>
      </c>
      <c r="H25" s="85">
        <f>'Data Room&gt;'!L19</f>
        <v>298</v>
      </c>
      <c r="I25" s="85">
        <f>'Data Room&gt;'!M19</f>
        <v>325</v>
      </c>
    </row>
    <row r="26" spans="1:9" x14ac:dyDescent="0.3">
      <c r="B26" s="85" t="str">
        <f>'Data Room&gt;'!A20</f>
        <v>Furniture n fittings</v>
      </c>
      <c r="C26" s="85"/>
      <c r="D26" s="85"/>
      <c r="E26" s="85">
        <f>'Data Room&gt;'!I20</f>
        <v>99</v>
      </c>
      <c r="F26" s="85">
        <f>'Data Room&gt;'!J20</f>
        <v>113</v>
      </c>
      <c r="G26" s="85">
        <f>'Data Room&gt;'!K20</f>
        <v>146</v>
      </c>
      <c r="H26" s="85">
        <f>'Data Room&gt;'!L20</f>
        <v>175</v>
      </c>
      <c r="I26" s="85">
        <f>'Data Room&gt;'!M20</f>
        <v>203</v>
      </c>
    </row>
    <row r="27" spans="1:9" x14ac:dyDescent="0.3">
      <c r="B27" s="85" t="str">
        <f>'Data Room&gt;'!A21</f>
        <v>Vehicles</v>
      </c>
      <c r="C27" s="85"/>
      <c r="D27" s="85"/>
      <c r="E27" s="85">
        <f>'Data Room&gt;'!I21</f>
        <v>38</v>
      </c>
      <c r="F27" s="85">
        <f>'Data Room&gt;'!J21</f>
        <v>32</v>
      </c>
      <c r="G27" s="85">
        <f>'Data Room&gt;'!K21</f>
        <v>36</v>
      </c>
      <c r="H27" s="85">
        <f>'Data Room&gt;'!L21</f>
        <v>40</v>
      </c>
      <c r="I27" s="85">
        <f>'Data Room&gt;'!M21</f>
        <v>39</v>
      </c>
    </row>
    <row r="28" spans="1:9" x14ac:dyDescent="0.3">
      <c r="B28" s="85" t="str">
        <f>'Data Room&gt;'!A22</f>
        <v>Intangible Assets</v>
      </c>
      <c r="C28" s="85"/>
      <c r="D28" s="85"/>
      <c r="E28" s="85">
        <f>'Data Room&gt;'!I22</f>
        <v>476</v>
      </c>
      <c r="F28" s="85">
        <f>'Data Room&gt;'!J22</f>
        <v>345</v>
      </c>
      <c r="G28" s="85">
        <f>'Data Room&gt;'!K22</f>
        <v>422</v>
      </c>
      <c r="H28" s="85">
        <f>'Data Room&gt;'!L22</f>
        <v>850</v>
      </c>
      <c r="I28" s="85">
        <f>'Data Room&gt;'!M22</f>
        <v>827</v>
      </c>
    </row>
    <row r="29" spans="1:9" ht="15" thickBot="1" x14ac:dyDescent="0.35">
      <c r="B29" s="10" t="str">
        <f>'Data Room&gt;'!A23</f>
        <v>Other fixed assets</v>
      </c>
      <c r="C29" s="10"/>
      <c r="D29" s="10"/>
      <c r="E29" s="10">
        <f>'Data Room&gt;'!I23</f>
        <v>302</v>
      </c>
      <c r="F29" s="10">
        <f>'Data Room&gt;'!J23</f>
        <v>294</v>
      </c>
      <c r="G29" s="10">
        <f>'Data Room&gt;'!K23</f>
        <v>289</v>
      </c>
      <c r="H29" s="10">
        <f>'Data Room&gt;'!L23</f>
        <v>321</v>
      </c>
      <c r="I29" s="10">
        <f>'Data Room&gt;'!M23</f>
        <v>328</v>
      </c>
    </row>
    <row r="30" spans="1:9" x14ac:dyDescent="0.3">
      <c r="B30" s="101" t="s">
        <v>113</v>
      </c>
      <c r="C30" s="102"/>
      <c r="D30" s="102"/>
      <c r="E30" s="102">
        <f>SUM(E22:E29)</f>
        <v>8391</v>
      </c>
      <c r="F30" s="102">
        <f t="shared" ref="F30:I30" si="3">SUM(F22:F29)</f>
        <v>8537</v>
      </c>
      <c r="G30" s="102">
        <f t="shared" si="3"/>
        <v>9675</v>
      </c>
      <c r="H30" s="102">
        <f t="shared" si="3"/>
        <v>11622</v>
      </c>
      <c r="I30" s="102">
        <f t="shared" si="3"/>
        <v>14484</v>
      </c>
    </row>
    <row r="31" spans="1:9" ht="15" thickBot="1" x14ac:dyDescent="0.35">
      <c r="B31" s="100" t="s">
        <v>132</v>
      </c>
      <c r="C31" s="99"/>
      <c r="D31" s="99"/>
      <c r="E31" s="99">
        <f>'Data Room&gt;'!B25</f>
        <v>1242</v>
      </c>
      <c r="F31" s="99">
        <f>'Data Room&gt;'!C25</f>
        <v>1452</v>
      </c>
      <c r="G31" s="99">
        <f>'Data Room&gt;'!D25</f>
        <v>327</v>
      </c>
      <c r="H31" s="99">
        <f>'Data Room&gt;'!E25</f>
        <v>610</v>
      </c>
      <c r="I31" s="99">
        <f>'Data Room&gt;'!F25</f>
        <v>973</v>
      </c>
    </row>
    <row r="32" spans="1:9" x14ac:dyDescent="0.3">
      <c r="B32" s="45" t="s">
        <v>133</v>
      </c>
      <c r="E32">
        <f>E30-E31</f>
        <v>7149</v>
      </c>
      <c r="F32">
        <f t="shared" ref="F32:I32" si="4">F30-F31</f>
        <v>7085</v>
      </c>
      <c r="G32">
        <f t="shared" si="4"/>
        <v>9348</v>
      </c>
      <c r="H32">
        <f t="shared" si="4"/>
        <v>11012</v>
      </c>
      <c r="I32">
        <f t="shared" si="4"/>
        <v>13511</v>
      </c>
    </row>
    <row r="34" spans="1:9" x14ac:dyDescent="0.3">
      <c r="A34" t="s">
        <v>130</v>
      </c>
      <c r="B34" s="45" t="s">
        <v>134</v>
      </c>
      <c r="E34">
        <f>E32+E19</f>
        <v>9898</v>
      </c>
      <c r="F34">
        <f t="shared" ref="F34:I34" si="5">F32+F19</f>
        <v>12573</v>
      </c>
      <c r="G34">
        <f t="shared" si="5"/>
        <v>15527</v>
      </c>
      <c r="H34">
        <f t="shared" si="5"/>
        <v>16972</v>
      </c>
      <c r="I34">
        <f t="shared" si="5"/>
        <v>19216</v>
      </c>
    </row>
    <row r="35" spans="1:9" x14ac:dyDescent="0.3">
      <c r="B35" s="45" t="s">
        <v>135</v>
      </c>
    </row>
    <row r="36" spans="1:9" x14ac:dyDescent="0.3">
      <c r="B36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24D3-A5AD-4EB4-8372-FCFF0DCF5DA6}">
  <sheetPr>
    <tabColor rgb="FF002060"/>
  </sheetPr>
  <dimension ref="A1:M38"/>
  <sheetViews>
    <sheetView topLeftCell="A15" workbookViewId="0">
      <selection activeCell="H39" sqref="H39"/>
    </sheetView>
  </sheetViews>
  <sheetFormatPr defaultRowHeight="14.4" x14ac:dyDescent="0.3"/>
  <cols>
    <col min="1" max="1" width="29.77734375" customWidth="1"/>
  </cols>
  <sheetData>
    <row r="1" spans="1:13" x14ac:dyDescent="0.3">
      <c r="B1" s="84">
        <v>41699</v>
      </c>
      <c r="C1" s="84">
        <v>42064</v>
      </c>
      <c r="D1" s="84">
        <v>42430</v>
      </c>
      <c r="E1" s="84">
        <v>42795</v>
      </c>
      <c r="F1" s="84">
        <v>43160</v>
      </c>
      <c r="G1" s="84">
        <v>43525</v>
      </c>
      <c r="H1" s="84">
        <v>43891</v>
      </c>
      <c r="I1" s="84">
        <v>44256</v>
      </c>
      <c r="J1" s="84">
        <v>44621</v>
      </c>
      <c r="K1" s="84">
        <v>44986</v>
      </c>
      <c r="L1" s="84">
        <v>45352</v>
      </c>
      <c r="M1" s="84">
        <v>45717</v>
      </c>
    </row>
    <row r="2" spans="1:13" x14ac:dyDescent="0.3">
      <c r="A2" s="45" t="s">
        <v>91</v>
      </c>
      <c r="B2" s="86">
        <v>96</v>
      </c>
      <c r="C2" s="86">
        <v>96</v>
      </c>
      <c r="D2" s="86">
        <v>96</v>
      </c>
      <c r="E2" s="86">
        <v>96</v>
      </c>
      <c r="F2" s="86">
        <v>96</v>
      </c>
      <c r="G2" s="86">
        <v>96</v>
      </c>
      <c r="H2" s="86">
        <v>96</v>
      </c>
      <c r="I2" s="86">
        <v>96</v>
      </c>
      <c r="J2" s="86">
        <v>96</v>
      </c>
      <c r="K2" s="86">
        <v>96</v>
      </c>
      <c r="L2" s="86">
        <v>96</v>
      </c>
      <c r="M2" s="86">
        <v>96</v>
      </c>
    </row>
    <row r="3" spans="1:13" x14ac:dyDescent="0.3">
      <c r="A3" s="45" t="s">
        <v>92</v>
      </c>
      <c r="B3" s="86">
        <v>3943</v>
      </c>
      <c r="C3" s="86">
        <v>4646</v>
      </c>
      <c r="D3" s="86">
        <v>6429</v>
      </c>
      <c r="E3" s="86">
        <v>7508</v>
      </c>
      <c r="F3" s="86">
        <v>8314</v>
      </c>
      <c r="G3" s="86">
        <v>9375</v>
      </c>
      <c r="H3" s="86">
        <v>10034</v>
      </c>
      <c r="I3" s="86">
        <v>12710</v>
      </c>
      <c r="J3" s="86">
        <v>13716</v>
      </c>
      <c r="K3" s="86">
        <v>15896</v>
      </c>
      <c r="L3" s="86">
        <v>18632</v>
      </c>
      <c r="M3" s="86">
        <v>19304</v>
      </c>
    </row>
    <row r="4" spans="1:13" x14ac:dyDescent="0.3">
      <c r="A4" s="45" t="s">
        <v>93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x14ac:dyDescent="0.3">
      <c r="A5" t="s">
        <v>94</v>
      </c>
      <c r="B5" s="86">
        <v>41</v>
      </c>
      <c r="C5" s="86">
        <v>78</v>
      </c>
      <c r="D5" s="86">
        <v>73</v>
      </c>
      <c r="E5" s="86">
        <v>41</v>
      </c>
      <c r="F5" s="86">
        <v>28</v>
      </c>
      <c r="G5" s="86">
        <v>19</v>
      </c>
      <c r="H5" s="86">
        <v>19</v>
      </c>
      <c r="I5" s="86">
        <v>15</v>
      </c>
      <c r="J5" s="86">
        <v>45</v>
      </c>
      <c r="K5" s="86">
        <v>76</v>
      </c>
      <c r="L5" s="86">
        <v>54</v>
      </c>
      <c r="M5" s="86">
        <v>260</v>
      </c>
    </row>
    <row r="6" spans="1:13" x14ac:dyDescent="0.3">
      <c r="A6" t="s">
        <v>95</v>
      </c>
      <c r="B6" s="86">
        <v>199</v>
      </c>
      <c r="C6" s="86">
        <v>332</v>
      </c>
      <c r="D6" s="86">
        <v>231</v>
      </c>
      <c r="E6" s="86">
        <v>504</v>
      </c>
      <c r="F6" s="86">
        <v>492</v>
      </c>
      <c r="G6" s="86">
        <v>597</v>
      </c>
      <c r="H6" s="86">
        <v>321</v>
      </c>
      <c r="I6" s="86">
        <v>334</v>
      </c>
      <c r="J6" s="86">
        <v>731</v>
      </c>
      <c r="K6" s="86">
        <v>896</v>
      </c>
      <c r="L6" s="86">
        <v>1053</v>
      </c>
      <c r="M6" s="86">
        <v>604</v>
      </c>
    </row>
    <row r="7" spans="1:13" x14ac:dyDescent="0.3">
      <c r="A7" t="s">
        <v>96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693</v>
      </c>
      <c r="H7" s="86">
        <v>764</v>
      </c>
      <c r="I7" s="86">
        <v>745</v>
      </c>
      <c r="J7" s="86">
        <v>811</v>
      </c>
      <c r="K7" s="86">
        <v>960</v>
      </c>
      <c r="L7" s="86">
        <v>1367</v>
      </c>
      <c r="M7" s="86">
        <v>1427</v>
      </c>
    </row>
    <row r="8" spans="1:13" x14ac:dyDescent="0.3">
      <c r="A8" t="s">
        <v>97</v>
      </c>
      <c r="B8" s="86">
        <v>9</v>
      </c>
      <c r="C8" s="86">
        <v>8</v>
      </c>
      <c r="D8" s="86">
        <v>20</v>
      </c>
      <c r="E8" s="86">
        <v>15</v>
      </c>
      <c r="F8" s="86">
        <v>13</v>
      </c>
      <c r="G8" s="86">
        <v>11</v>
      </c>
      <c r="H8" s="86">
        <v>15</v>
      </c>
      <c r="I8" s="86">
        <v>0</v>
      </c>
      <c r="J8" s="86">
        <v>0</v>
      </c>
      <c r="K8" s="86">
        <v>0</v>
      </c>
      <c r="L8" s="86">
        <v>0</v>
      </c>
      <c r="M8" s="86">
        <v>0</v>
      </c>
    </row>
    <row r="9" spans="1:13" x14ac:dyDescent="0.3">
      <c r="A9" t="s">
        <v>98</v>
      </c>
      <c r="B9" s="86">
        <v>3787</v>
      </c>
      <c r="C9" s="86">
        <v>3754</v>
      </c>
      <c r="D9" s="86">
        <v>3711</v>
      </c>
      <c r="E9" s="86">
        <v>4241</v>
      </c>
      <c r="F9" s="86">
        <v>4820</v>
      </c>
      <c r="G9" s="86">
        <v>5459</v>
      </c>
      <c r="H9" s="86">
        <v>4889</v>
      </c>
      <c r="I9" s="86">
        <v>6456</v>
      </c>
      <c r="J9" s="86">
        <v>7560</v>
      </c>
      <c r="K9" s="86">
        <v>7854</v>
      </c>
      <c r="L9" s="86">
        <v>8698</v>
      </c>
      <c r="M9" s="86">
        <v>8665</v>
      </c>
    </row>
    <row r="10" spans="1:13" x14ac:dyDescent="0.3">
      <c r="A10" t="s">
        <v>99</v>
      </c>
      <c r="B10" s="86">
        <v>246</v>
      </c>
      <c r="C10" s="86">
        <v>264</v>
      </c>
      <c r="D10" s="86">
        <v>384</v>
      </c>
      <c r="E10" s="86">
        <v>375</v>
      </c>
      <c r="F10" s="86">
        <v>328</v>
      </c>
      <c r="G10" s="86">
        <v>361</v>
      </c>
      <c r="H10" s="86">
        <v>404</v>
      </c>
      <c r="I10" s="86">
        <v>423</v>
      </c>
      <c r="J10" s="86">
        <v>388</v>
      </c>
      <c r="K10" s="86">
        <v>454</v>
      </c>
      <c r="L10" s="86">
        <v>695</v>
      </c>
      <c r="M10" s="86">
        <v>659</v>
      </c>
    </row>
    <row r="11" spans="1:13" x14ac:dyDescent="0.3">
      <c r="A11" t="s">
        <v>100</v>
      </c>
      <c r="B11" s="86">
        <v>1746</v>
      </c>
      <c r="C11" s="86">
        <v>1549</v>
      </c>
      <c r="D11" s="86">
        <v>1565</v>
      </c>
      <c r="E11" s="86">
        <v>1923</v>
      </c>
      <c r="F11" s="86">
        <v>2160</v>
      </c>
      <c r="G11" s="86">
        <v>2394</v>
      </c>
      <c r="H11" s="86">
        <v>2137</v>
      </c>
      <c r="I11" s="86">
        <v>3379</v>
      </c>
      <c r="J11" s="86">
        <v>4164</v>
      </c>
      <c r="K11" s="86">
        <v>3635</v>
      </c>
      <c r="L11" s="86">
        <v>3831</v>
      </c>
      <c r="M11" s="86">
        <v>3848</v>
      </c>
    </row>
    <row r="12" spans="1:13" x14ac:dyDescent="0.3">
      <c r="A12" t="s">
        <v>101</v>
      </c>
      <c r="B12" s="86">
        <v>0</v>
      </c>
      <c r="C12" s="86">
        <v>5</v>
      </c>
      <c r="D12" s="86">
        <v>12</v>
      </c>
      <c r="E12" s="86">
        <v>17</v>
      </c>
      <c r="F12" s="86">
        <v>16</v>
      </c>
      <c r="G12" s="86">
        <v>13</v>
      </c>
      <c r="H12" s="86">
        <v>29</v>
      </c>
      <c r="I12" s="86">
        <v>41</v>
      </c>
      <c r="J12" s="86">
        <v>76</v>
      </c>
      <c r="K12" s="86">
        <v>108</v>
      </c>
      <c r="L12" s="86">
        <v>154</v>
      </c>
      <c r="M12" s="86">
        <v>173</v>
      </c>
    </row>
    <row r="13" spans="1:13" x14ac:dyDescent="0.3">
      <c r="A13" t="s">
        <v>102</v>
      </c>
      <c r="B13" s="87">
        <v>1795</v>
      </c>
      <c r="C13" s="87">
        <v>1937</v>
      </c>
      <c r="D13" s="87">
        <v>1750</v>
      </c>
      <c r="E13" s="87">
        <v>1925</v>
      </c>
      <c r="F13" s="87">
        <v>2316</v>
      </c>
      <c r="G13" s="87">
        <v>2690</v>
      </c>
      <c r="H13" s="87">
        <v>2320</v>
      </c>
      <c r="I13" s="87">
        <v>2613</v>
      </c>
      <c r="J13" s="87">
        <v>2932</v>
      </c>
      <c r="K13" s="87">
        <v>3657</v>
      </c>
      <c r="L13" s="87">
        <v>4017</v>
      </c>
      <c r="M13" s="87">
        <v>3985</v>
      </c>
    </row>
    <row r="14" spans="1:13" x14ac:dyDescent="0.3">
      <c r="A14" s="83" t="s">
        <v>103</v>
      </c>
      <c r="B14" s="88">
        <v>8075</v>
      </c>
      <c r="C14" s="88">
        <v>8914</v>
      </c>
      <c r="D14" s="88">
        <v>10559</v>
      </c>
      <c r="E14" s="88">
        <v>12405</v>
      </c>
      <c r="F14" s="88">
        <v>13763</v>
      </c>
      <c r="G14" s="88">
        <v>16249</v>
      </c>
      <c r="H14" s="88">
        <v>16138</v>
      </c>
      <c r="I14" s="88">
        <v>20355</v>
      </c>
      <c r="J14" s="88">
        <v>22958</v>
      </c>
      <c r="K14" s="88">
        <v>25779</v>
      </c>
      <c r="L14" s="88">
        <v>29901</v>
      </c>
      <c r="M14" s="88">
        <v>30355</v>
      </c>
    </row>
    <row r="15" spans="1:13" x14ac:dyDescent="0.3">
      <c r="A15" s="45" t="s">
        <v>104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</row>
    <row r="16" spans="1:13" x14ac:dyDescent="0.3">
      <c r="A16" t="s">
        <v>105</v>
      </c>
      <c r="B16" s="86">
        <v>247</v>
      </c>
      <c r="C16" s="86">
        <v>251</v>
      </c>
      <c r="D16" s="86">
        <v>429</v>
      </c>
      <c r="E16" s="86">
        <v>408</v>
      </c>
      <c r="F16" s="86">
        <v>586</v>
      </c>
      <c r="G16" s="86">
        <v>605</v>
      </c>
      <c r="H16" s="86">
        <v>640</v>
      </c>
      <c r="I16" s="86">
        <v>644</v>
      </c>
      <c r="J16" s="86">
        <v>644</v>
      </c>
      <c r="K16" s="86">
        <v>804</v>
      </c>
      <c r="L16" s="86">
        <v>1126</v>
      </c>
      <c r="M16" s="86">
        <v>1050</v>
      </c>
    </row>
    <row r="17" spans="1:13" x14ac:dyDescent="0.3">
      <c r="A17" t="s">
        <v>106</v>
      </c>
      <c r="B17" s="86">
        <v>931</v>
      </c>
      <c r="C17" s="86">
        <v>962</v>
      </c>
      <c r="D17" s="86">
        <v>923</v>
      </c>
      <c r="E17" s="86">
        <v>931</v>
      </c>
      <c r="F17" s="86">
        <v>957</v>
      </c>
      <c r="G17" s="86">
        <v>2402</v>
      </c>
      <c r="H17" s="86">
        <v>2257</v>
      </c>
      <c r="I17" s="86">
        <v>2249</v>
      </c>
      <c r="J17" s="86">
        <v>2325</v>
      </c>
      <c r="K17" s="86">
        <v>2883</v>
      </c>
      <c r="L17" s="86">
        <v>3390</v>
      </c>
      <c r="M17" s="86">
        <v>4136</v>
      </c>
    </row>
    <row r="18" spans="1:13" x14ac:dyDescent="0.3">
      <c r="A18" t="s">
        <v>107</v>
      </c>
      <c r="B18" s="86">
        <v>2054</v>
      </c>
      <c r="C18" s="86">
        <v>2132</v>
      </c>
      <c r="D18" s="86">
        <v>1793</v>
      </c>
      <c r="E18" s="86">
        <v>1980</v>
      </c>
      <c r="F18" s="86">
        <v>2157</v>
      </c>
      <c r="G18" s="86">
        <v>4006</v>
      </c>
      <c r="H18" s="86">
        <v>4208</v>
      </c>
      <c r="I18" s="86">
        <v>4340</v>
      </c>
      <c r="J18" s="86">
        <v>4531</v>
      </c>
      <c r="K18" s="86">
        <v>4825</v>
      </c>
      <c r="L18" s="86">
        <v>5422</v>
      </c>
      <c r="M18" s="86">
        <v>7576</v>
      </c>
    </row>
    <row r="19" spans="1:13" x14ac:dyDescent="0.3">
      <c r="A19" t="s">
        <v>108</v>
      </c>
      <c r="B19" s="86">
        <v>155</v>
      </c>
      <c r="C19" s="86">
        <v>171</v>
      </c>
      <c r="D19" s="86">
        <v>97</v>
      </c>
      <c r="E19" s="86">
        <v>119</v>
      </c>
      <c r="F19" s="86">
        <v>200</v>
      </c>
      <c r="G19" s="86">
        <v>221</v>
      </c>
      <c r="H19" s="86">
        <v>241</v>
      </c>
      <c r="I19" s="86">
        <v>243</v>
      </c>
      <c r="J19" s="86">
        <v>253</v>
      </c>
      <c r="K19" s="86">
        <v>270</v>
      </c>
      <c r="L19" s="86">
        <v>298</v>
      </c>
      <c r="M19" s="86">
        <v>325</v>
      </c>
    </row>
    <row r="20" spans="1:13" x14ac:dyDescent="0.3">
      <c r="A20" t="s">
        <v>109</v>
      </c>
      <c r="B20" s="86">
        <v>71</v>
      </c>
      <c r="C20" s="86">
        <v>83</v>
      </c>
      <c r="D20" s="86">
        <v>49</v>
      </c>
      <c r="E20" s="86">
        <v>59</v>
      </c>
      <c r="F20" s="86">
        <v>72</v>
      </c>
      <c r="G20" s="86">
        <v>88</v>
      </c>
      <c r="H20" s="86">
        <v>94</v>
      </c>
      <c r="I20" s="86">
        <v>99</v>
      </c>
      <c r="J20" s="86">
        <v>113</v>
      </c>
      <c r="K20" s="86">
        <v>146</v>
      </c>
      <c r="L20" s="86">
        <v>175</v>
      </c>
      <c r="M20" s="86">
        <v>203</v>
      </c>
    </row>
    <row r="21" spans="1:13" x14ac:dyDescent="0.3">
      <c r="A21" t="s">
        <v>110</v>
      </c>
      <c r="B21" s="86">
        <v>14</v>
      </c>
      <c r="C21" s="86">
        <v>18</v>
      </c>
      <c r="D21" s="86">
        <v>11</v>
      </c>
      <c r="E21" s="86">
        <v>14</v>
      </c>
      <c r="F21" s="86">
        <v>27</v>
      </c>
      <c r="G21" s="86">
        <v>47</v>
      </c>
      <c r="H21" s="86">
        <v>43</v>
      </c>
      <c r="I21" s="86">
        <v>38</v>
      </c>
      <c r="J21" s="86">
        <v>32</v>
      </c>
      <c r="K21" s="86">
        <v>36</v>
      </c>
      <c r="L21" s="86">
        <v>40</v>
      </c>
      <c r="M21" s="86">
        <v>39</v>
      </c>
    </row>
    <row r="22" spans="1:13" x14ac:dyDescent="0.3">
      <c r="A22" t="s">
        <v>111</v>
      </c>
      <c r="B22" s="86">
        <v>203</v>
      </c>
      <c r="C22" s="86">
        <v>351</v>
      </c>
      <c r="D22" s="86">
        <v>339</v>
      </c>
      <c r="E22" s="86">
        <v>276</v>
      </c>
      <c r="F22" s="86">
        <v>468</v>
      </c>
      <c r="G22" s="86">
        <v>512</v>
      </c>
      <c r="H22" s="86">
        <v>505</v>
      </c>
      <c r="I22" s="86">
        <v>476</v>
      </c>
      <c r="J22" s="86">
        <v>345</v>
      </c>
      <c r="K22" s="86">
        <v>422</v>
      </c>
      <c r="L22" s="86">
        <v>850</v>
      </c>
      <c r="M22" s="86">
        <v>827</v>
      </c>
    </row>
    <row r="23" spans="1:13" x14ac:dyDescent="0.3">
      <c r="A23" t="s">
        <v>112</v>
      </c>
      <c r="B23" s="86">
        <v>128</v>
      </c>
      <c r="C23" s="86">
        <v>145</v>
      </c>
      <c r="D23" s="86">
        <v>103</v>
      </c>
      <c r="E23" s="86">
        <v>128</v>
      </c>
      <c r="F23" s="86">
        <v>238</v>
      </c>
      <c r="G23" s="86">
        <v>261</v>
      </c>
      <c r="H23" s="86">
        <v>293</v>
      </c>
      <c r="I23" s="86">
        <v>302</v>
      </c>
      <c r="J23" s="86">
        <v>294</v>
      </c>
      <c r="K23" s="86">
        <v>289</v>
      </c>
      <c r="L23" s="86">
        <v>321</v>
      </c>
      <c r="M23" s="86">
        <v>328</v>
      </c>
    </row>
    <row r="24" spans="1:13" x14ac:dyDescent="0.3">
      <c r="A24" s="45" t="s">
        <v>113</v>
      </c>
      <c r="B24" s="90">
        <v>3804</v>
      </c>
      <c r="C24" s="90">
        <v>4112</v>
      </c>
      <c r="D24" s="90">
        <v>3744</v>
      </c>
      <c r="E24" s="90">
        <v>3914</v>
      </c>
      <c r="F24" s="90">
        <v>4705</v>
      </c>
      <c r="G24" s="90">
        <v>8141</v>
      </c>
      <c r="H24" s="90">
        <v>8282</v>
      </c>
      <c r="I24" s="90">
        <v>8392</v>
      </c>
      <c r="J24" s="90">
        <v>8538</v>
      </c>
      <c r="K24" s="90">
        <v>9676</v>
      </c>
      <c r="L24" s="90">
        <v>11622</v>
      </c>
      <c r="M24" s="90">
        <v>14484</v>
      </c>
    </row>
    <row r="25" spans="1:13" x14ac:dyDescent="0.3">
      <c r="A25" s="45" t="s">
        <v>114</v>
      </c>
      <c r="B25" s="87">
        <v>1242</v>
      </c>
      <c r="C25" s="87">
        <v>1452</v>
      </c>
      <c r="D25" s="87">
        <v>327</v>
      </c>
      <c r="E25" s="87">
        <v>610</v>
      </c>
      <c r="F25" s="87">
        <v>973</v>
      </c>
      <c r="G25" s="87">
        <v>1644</v>
      </c>
      <c r="H25" s="87">
        <v>2010</v>
      </c>
      <c r="I25" s="87">
        <v>2533</v>
      </c>
      <c r="J25" s="87">
        <v>3019</v>
      </c>
      <c r="K25" s="87">
        <v>3905</v>
      </c>
      <c r="L25" s="87">
        <v>4475</v>
      </c>
      <c r="M25" s="87">
        <v>5264</v>
      </c>
    </row>
    <row r="26" spans="1:13" x14ac:dyDescent="0.3">
      <c r="A26" s="6" t="s">
        <v>125</v>
      </c>
      <c r="B26" s="91">
        <f>B24-B25</f>
        <v>2562</v>
      </c>
      <c r="C26" s="91">
        <f t="shared" ref="C26:M26" si="0">C24-C25</f>
        <v>2660</v>
      </c>
      <c r="D26" s="91">
        <f t="shared" si="0"/>
        <v>3417</v>
      </c>
      <c r="E26" s="91">
        <f t="shared" si="0"/>
        <v>3304</v>
      </c>
      <c r="F26" s="91">
        <f t="shared" si="0"/>
        <v>3732</v>
      </c>
      <c r="G26" s="91">
        <f t="shared" si="0"/>
        <v>6497</v>
      </c>
      <c r="H26" s="91">
        <f t="shared" si="0"/>
        <v>6272</v>
      </c>
      <c r="I26" s="91">
        <f t="shared" si="0"/>
        <v>5859</v>
      </c>
      <c r="J26" s="91">
        <f t="shared" si="0"/>
        <v>5519</v>
      </c>
      <c r="K26" s="91">
        <f t="shared" si="0"/>
        <v>5771</v>
      </c>
      <c r="L26" s="91">
        <f t="shared" si="0"/>
        <v>7147</v>
      </c>
      <c r="M26" s="91">
        <f t="shared" si="0"/>
        <v>9220</v>
      </c>
    </row>
    <row r="27" spans="1:13" x14ac:dyDescent="0.3">
      <c r="A27" s="45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28" spans="1:13" x14ac:dyDescent="0.3">
      <c r="A28" s="45" t="s">
        <v>115</v>
      </c>
      <c r="B28" s="86">
        <v>72</v>
      </c>
      <c r="C28" s="86">
        <v>196</v>
      </c>
      <c r="D28" s="86">
        <v>107</v>
      </c>
      <c r="E28" s="86">
        <v>258</v>
      </c>
      <c r="F28" s="86">
        <v>1405</v>
      </c>
      <c r="G28" s="86">
        <v>210</v>
      </c>
      <c r="H28" s="86">
        <v>140</v>
      </c>
      <c r="I28" s="86">
        <v>183</v>
      </c>
      <c r="J28" s="86">
        <v>426</v>
      </c>
      <c r="K28" s="86">
        <v>1020</v>
      </c>
      <c r="L28" s="86">
        <v>2698</v>
      </c>
      <c r="M28" s="86">
        <v>1254</v>
      </c>
    </row>
    <row r="29" spans="1:13" x14ac:dyDescent="0.3">
      <c r="A29" s="45" t="s">
        <v>116</v>
      </c>
      <c r="B29" s="86">
        <v>1424</v>
      </c>
      <c r="C29" s="86">
        <v>1588</v>
      </c>
      <c r="D29" s="86">
        <v>2712</v>
      </c>
      <c r="E29" s="86">
        <v>2652</v>
      </c>
      <c r="F29" s="86">
        <v>2141</v>
      </c>
      <c r="G29" s="86">
        <v>2569</v>
      </c>
      <c r="H29" s="86">
        <v>2019</v>
      </c>
      <c r="I29" s="86">
        <v>4737</v>
      </c>
      <c r="J29" s="86">
        <v>3248</v>
      </c>
      <c r="K29" s="86">
        <v>4262</v>
      </c>
      <c r="L29" s="86">
        <v>4588</v>
      </c>
      <c r="M29" s="86">
        <v>4725</v>
      </c>
    </row>
    <row r="30" spans="1:13" x14ac:dyDescent="0.3">
      <c r="A30" s="45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</row>
    <row r="31" spans="1:13" x14ac:dyDescent="0.3">
      <c r="A31" s="45" t="s">
        <v>117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x14ac:dyDescent="0.3">
      <c r="A32" t="s">
        <v>118</v>
      </c>
      <c r="B32" s="86">
        <v>2070</v>
      </c>
      <c r="C32" s="86">
        <v>2259</v>
      </c>
      <c r="D32" s="86">
        <v>1998</v>
      </c>
      <c r="E32" s="86">
        <v>2627</v>
      </c>
      <c r="F32" s="86">
        <v>2658</v>
      </c>
      <c r="G32" s="86">
        <v>3150</v>
      </c>
      <c r="H32" s="86">
        <v>3390</v>
      </c>
      <c r="I32" s="86">
        <v>3799</v>
      </c>
      <c r="J32" s="86">
        <v>6153</v>
      </c>
      <c r="K32" s="86">
        <v>6211</v>
      </c>
      <c r="L32" s="86">
        <v>5923</v>
      </c>
      <c r="M32" s="86">
        <v>6719</v>
      </c>
    </row>
    <row r="33" spans="1:13" x14ac:dyDescent="0.3">
      <c r="A33" t="s">
        <v>119</v>
      </c>
      <c r="B33" s="86">
        <v>1110</v>
      </c>
      <c r="C33" s="86">
        <v>1182</v>
      </c>
      <c r="D33" s="86">
        <v>1187</v>
      </c>
      <c r="E33" s="86">
        <v>1447</v>
      </c>
      <c r="F33" s="86">
        <v>1731</v>
      </c>
      <c r="G33" s="86">
        <v>1907</v>
      </c>
      <c r="H33" s="86">
        <v>1795</v>
      </c>
      <c r="I33" s="86">
        <v>2602</v>
      </c>
      <c r="J33" s="86">
        <v>3871</v>
      </c>
      <c r="K33" s="86">
        <v>4637</v>
      </c>
      <c r="L33" s="86">
        <v>4889</v>
      </c>
      <c r="M33" s="86">
        <v>4314</v>
      </c>
    </row>
    <row r="34" spans="1:13" x14ac:dyDescent="0.3">
      <c r="A34" t="s">
        <v>120</v>
      </c>
      <c r="B34" s="86">
        <v>-50</v>
      </c>
      <c r="C34" s="86">
        <v>-59</v>
      </c>
      <c r="D34" s="86">
        <v>-67</v>
      </c>
      <c r="E34" s="86">
        <v>-79</v>
      </c>
      <c r="F34" s="86">
        <v>-89</v>
      </c>
      <c r="G34" s="86">
        <v>-121</v>
      </c>
      <c r="H34" s="86">
        <v>-155</v>
      </c>
      <c r="I34" s="86">
        <v>-185</v>
      </c>
      <c r="J34" s="86">
        <v>-241</v>
      </c>
      <c r="K34" s="86">
        <v>-305</v>
      </c>
      <c r="L34" s="86">
        <v>-422</v>
      </c>
      <c r="M34" s="86">
        <v>-663</v>
      </c>
    </row>
    <row r="35" spans="1:13" x14ac:dyDescent="0.3">
      <c r="A35" t="s">
        <v>121</v>
      </c>
      <c r="B35" s="86">
        <v>229</v>
      </c>
      <c r="C35" s="86">
        <v>204</v>
      </c>
      <c r="D35" s="86">
        <v>424</v>
      </c>
      <c r="E35" s="86">
        <v>801</v>
      </c>
      <c r="F35" s="86">
        <v>405</v>
      </c>
      <c r="G35" s="86">
        <v>445</v>
      </c>
      <c r="H35" s="86">
        <v>783</v>
      </c>
      <c r="I35" s="86">
        <v>611</v>
      </c>
      <c r="J35" s="86">
        <v>864</v>
      </c>
      <c r="K35" s="86">
        <v>844</v>
      </c>
      <c r="L35" s="86">
        <v>1084</v>
      </c>
      <c r="M35" s="86">
        <v>782</v>
      </c>
    </row>
    <row r="36" spans="1:13" x14ac:dyDescent="0.3">
      <c r="A36" t="s">
        <v>122</v>
      </c>
      <c r="B36" s="86">
        <v>7</v>
      </c>
      <c r="C36" s="86">
        <v>8</v>
      </c>
      <c r="D36" s="86">
        <v>9</v>
      </c>
      <c r="E36" s="86">
        <v>14</v>
      </c>
      <c r="F36" s="86">
        <v>13</v>
      </c>
      <c r="G36" s="86">
        <v>16</v>
      </c>
      <c r="H36" s="86">
        <v>12</v>
      </c>
      <c r="I36" s="86">
        <v>11</v>
      </c>
      <c r="J36" s="86">
        <v>8</v>
      </c>
      <c r="K36" s="86">
        <v>12</v>
      </c>
      <c r="L36" s="86">
        <v>17</v>
      </c>
      <c r="M36" s="86">
        <v>22</v>
      </c>
    </row>
    <row r="37" spans="1:13" x14ac:dyDescent="0.3">
      <c r="A37" t="s">
        <v>123</v>
      </c>
      <c r="B37" s="92">
        <v>603</v>
      </c>
      <c r="C37" s="92">
        <v>817</v>
      </c>
      <c r="D37" s="92">
        <v>705</v>
      </c>
      <c r="E37" s="92">
        <v>1303</v>
      </c>
      <c r="F37" s="92">
        <v>1678</v>
      </c>
      <c r="G37" s="92">
        <v>1456</v>
      </c>
      <c r="H37" s="92">
        <v>1727</v>
      </c>
      <c r="I37" s="92">
        <v>2555</v>
      </c>
      <c r="J37" s="92">
        <v>2869</v>
      </c>
      <c r="K37" s="92">
        <v>3024</v>
      </c>
      <c r="L37" s="92">
        <v>3555</v>
      </c>
      <c r="M37" s="92">
        <v>3319</v>
      </c>
    </row>
    <row r="38" spans="1:13" x14ac:dyDescent="0.3">
      <c r="A38" s="83" t="s">
        <v>124</v>
      </c>
      <c r="B38" s="88">
        <v>8075</v>
      </c>
      <c r="C38" s="88">
        <v>8914</v>
      </c>
      <c r="D38" s="88">
        <v>10559</v>
      </c>
      <c r="E38" s="88">
        <v>12405</v>
      </c>
      <c r="F38" s="88">
        <v>13763</v>
      </c>
      <c r="G38" s="88">
        <v>16249</v>
      </c>
      <c r="H38" s="88">
        <v>16138</v>
      </c>
      <c r="I38" s="88">
        <v>20355</v>
      </c>
      <c r="J38" s="88">
        <v>22958</v>
      </c>
      <c r="K38" s="88">
        <v>25779</v>
      </c>
      <c r="L38" s="88">
        <v>29901</v>
      </c>
      <c r="M38" s="88">
        <v>30355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C38E-68D9-4489-B01B-8A82091464B4}">
  <dimension ref="B2:M106"/>
  <sheetViews>
    <sheetView workbookViewId="0">
      <selection activeCell="K3" sqref="K3:K7"/>
    </sheetView>
  </sheetViews>
  <sheetFormatPr defaultRowHeight="14.4" x14ac:dyDescent="0.3"/>
  <cols>
    <col min="2" max="2" width="19.88671875" customWidth="1"/>
    <col min="5" max="5" width="18.109375" customWidth="1"/>
    <col min="6" max="6" width="15.44140625" customWidth="1"/>
    <col min="7" max="7" width="15.21875" customWidth="1"/>
    <col min="8" max="8" width="16" customWidth="1"/>
    <col min="9" max="9" width="17.109375" customWidth="1"/>
    <col min="10" max="10" width="15.33203125" customWidth="1"/>
  </cols>
  <sheetData>
    <row r="2" spans="2:13" ht="42" thickBot="1" x14ac:dyDescent="0.35">
      <c r="B2" s="31" t="s">
        <v>39</v>
      </c>
      <c r="C2" s="32" t="s">
        <v>40</v>
      </c>
      <c r="D2" s="32"/>
      <c r="E2" s="31" t="s">
        <v>39</v>
      </c>
      <c r="F2" s="32" t="s">
        <v>40</v>
      </c>
      <c r="G2" s="32"/>
      <c r="H2" s="57" t="s">
        <v>78</v>
      </c>
      <c r="I2" s="58" t="s">
        <v>79</v>
      </c>
      <c r="J2" s="59" t="s">
        <v>80</v>
      </c>
      <c r="K2" s="59" t="s">
        <v>81</v>
      </c>
      <c r="L2" s="59" t="s">
        <v>82</v>
      </c>
      <c r="M2" s="59" t="s">
        <v>83</v>
      </c>
    </row>
    <row r="3" spans="2:13" ht="16.8" x14ac:dyDescent="0.3">
      <c r="B3" s="33">
        <v>45886</v>
      </c>
      <c r="C3" s="34">
        <v>4698.8</v>
      </c>
      <c r="D3" s="35"/>
      <c r="E3" s="33">
        <v>45886</v>
      </c>
      <c r="F3" s="34">
        <v>24870.1</v>
      </c>
      <c r="G3" s="35"/>
      <c r="H3" s="60">
        <v>1</v>
      </c>
      <c r="I3" s="61" t="s">
        <v>84</v>
      </c>
      <c r="J3" s="62">
        <v>4698.8</v>
      </c>
      <c r="K3" s="62">
        <v>305766.46000000002</v>
      </c>
      <c r="L3" s="62">
        <v>819.62</v>
      </c>
      <c r="M3" s="62">
        <v>0.04</v>
      </c>
    </row>
    <row r="4" spans="2:13" ht="16.8" x14ac:dyDescent="0.3">
      <c r="B4" s="33">
        <v>45879</v>
      </c>
      <c r="C4" s="34">
        <v>4358.2</v>
      </c>
      <c r="D4" s="35"/>
      <c r="E4" s="33">
        <v>45879</v>
      </c>
      <c r="F4" s="34">
        <v>24631.3</v>
      </c>
      <c r="G4" s="35"/>
      <c r="H4" s="63">
        <v>2</v>
      </c>
      <c r="I4" s="64" t="s">
        <v>85</v>
      </c>
      <c r="J4" s="65">
        <v>150.66999999999999</v>
      </c>
      <c r="K4" s="65">
        <v>70279.649999999994</v>
      </c>
      <c r="L4" s="65">
        <v>1729.38</v>
      </c>
      <c r="M4" s="65">
        <v>0.27</v>
      </c>
    </row>
    <row r="5" spans="2:13" ht="16.8" x14ac:dyDescent="0.3">
      <c r="B5" s="33">
        <v>45872</v>
      </c>
      <c r="C5" s="38">
        <v>4170.1000000000004</v>
      </c>
      <c r="D5" s="35"/>
      <c r="E5" s="33">
        <v>45872</v>
      </c>
      <c r="F5" s="38">
        <v>24363.3</v>
      </c>
      <c r="G5" s="35"/>
      <c r="H5" s="66">
        <v>3</v>
      </c>
      <c r="I5" s="61" t="s">
        <v>86</v>
      </c>
      <c r="J5" s="67">
        <v>544.04999999999995</v>
      </c>
      <c r="K5" s="67">
        <v>5998.38</v>
      </c>
      <c r="L5" s="67">
        <v>3314.09</v>
      </c>
      <c r="M5" s="67">
        <v>10.32</v>
      </c>
    </row>
    <row r="6" spans="2:13" ht="16.8" x14ac:dyDescent="0.3">
      <c r="B6" s="33">
        <v>45865</v>
      </c>
      <c r="C6" s="34">
        <v>4196</v>
      </c>
      <c r="D6" s="35"/>
      <c r="E6" s="33">
        <v>45865</v>
      </c>
      <c r="F6" s="38">
        <v>24565.35</v>
      </c>
      <c r="G6" s="35"/>
      <c r="H6" s="63">
        <v>4</v>
      </c>
      <c r="I6" s="64" t="s">
        <v>87</v>
      </c>
      <c r="J6" s="65">
        <v>747</v>
      </c>
      <c r="K6" s="65">
        <v>5937.32</v>
      </c>
      <c r="L6" s="65">
        <v>782.51</v>
      </c>
      <c r="M6" s="65">
        <v>0.97</v>
      </c>
    </row>
    <row r="7" spans="2:13" ht="16.8" x14ac:dyDescent="0.3">
      <c r="B7" s="33">
        <v>45858</v>
      </c>
      <c r="C7" s="38">
        <v>3997</v>
      </c>
      <c r="D7" s="35"/>
      <c r="E7" s="33">
        <v>45858</v>
      </c>
      <c r="F7" s="38">
        <v>24837</v>
      </c>
      <c r="G7" s="35"/>
      <c r="H7" s="66">
        <v>5</v>
      </c>
      <c r="I7" s="61" t="s">
        <v>88</v>
      </c>
      <c r="J7" s="67">
        <v>131.41</v>
      </c>
      <c r="K7" s="67">
        <v>5060.59</v>
      </c>
      <c r="L7" s="67">
        <v>1976.45</v>
      </c>
      <c r="M7" s="67">
        <v>1.29</v>
      </c>
    </row>
    <row r="8" spans="2:13" ht="16.8" x14ac:dyDescent="0.3">
      <c r="B8" s="33">
        <v>45851</v>
      </c>
      <c r="C8" s="38">
        <v>4048.6</v>
      </c>
      <c r="D8" s="35"/>
      <c r="E8" s="33">
        <v>45851</v>
      </c>
      <c r="F8" s="38">
        <v>24968.400000000001</v>
      </c>
      <c r="G8" s="35"/>
      <c r="H8" s="35"/>
      <c r="I8" s="35"/>
      <c r="J8" s="36"/>
      <c r="K8" s="39"/>
    </row>
    <row r="9" spans="2:13" ht="16.8" x14ac:dyDescent="0.3">
      <c r="B9" s="33">
        <v>45844</v>
      </c>
      <c r="C9" s="38">
        <v>4064.2</v>
      </c>
      <c r="D9" s="35"/>
      <c r="E9" s="33">
        <v>45844</v>
      </c>
      <c r="F9" s="38">
        <v>25149.85</v>
      </c>
      <c r="G9" s="35"/>
      <c r="H9" s="35"/>
      <c r="I9" s="35"/>
      <c r="J9" s="36"/>
      <c r="K9" s="39"/>
    </row>
    <row r="10" spans="2:13" ht="16.8" x14ac:dyDescent="0.3">
      <c r="B10" s="33">
        <v>45837</v>
      </c>
      <c r="C10" s="38">
        <v>4261.1000000000004</v>
      </c>
      <c r="D10" s="35"/>
      <c r="E10" s="33">
        <v>45837</v>
      </c>
      <c r="F10" s="38">
        <v>25461</v>
      </c>
      <c r="G10" s="35"/>
      <c r="H10" s="35"/>
      <c r="I10" s="35"/>
      <c r="J10" s="36"/>
      <c r="K10" s="39"/>
    </row>
    <row r="11" spans="2:13" ht="16.8" x14ac:dyDescent="0.3">
      <c r="B11" s="33">
        <v>45830</v>
      </c>
      <c r="C11" s="34">
        <v>4313.5</v>
      </c>
      <c r="D11" s="35"/>
      <c r="E11" s="33">
        <v>45830</v>
      </c>
      <c r="F11" s="34">
        <v>25637.8</v>
      </c>
      <c r="G11" s="35"/>
      <c r="H11" s="35"/>
      <c r="I11" s="35"/>
      <c r="J11" s="36"/>
      <c r="K11" s="37"/>
    </row>
    <row r="12" spans="2:13" ht="16.8" x14ac:dyDescent="0.3">
      <c r="B12" s="33">
        <v>45823</v>
      </c>
      <c r="C12" s="34">
        <v>4300.3</v>
      </c>
      <c r="D12" s="35"/>
      <c r="E12" s="33">
        <v>45823</v>
      </c>
      <c r="F12" s="34">
        <v>25112.400000000001</v>
      </c>
      <c r="G12" s="35"/>
      <c r="H12" s="35"/>
      <c r="I12" s="35"/>
      <c r="J12" s="36"/>
      <c r="K12" s="37"/>
    </row>
    <row r="13" spans="2:13" ht="16.8" x14ac:dyDescent="0.3">
      <c r="B13" s="33">
        <v>45816</v>
      </c>
      <c r="C13" s="38">
        <v>4051.9</v>
      </c>
      <c r="D13" s="35"/>
      <c r="E13" s="33">
        <v>45816</v>
      </c>
      <c r="F13" s="38">
        <v>24718.6</v>
      </c>
      <c r="G13" s="35"/>
      <c r="H13" s="35"/>
      <c r="I13" s="35"/>
      <c r="J13" s="36"/>
      <c r="K13" s="39"/>
    </row>
    <row r="14" spans="2:13" ht="16.8" x14ac:dyDescent="0.3">
      <c r="B14" s="33">
        <v>45809</v>
      </c>
      <c r="C14" s="34">
        <v>4201.6000000000004</v>
      </c>
      <c r="D14" s="35"/>
      <c r="E14" s="33">
        <v>45809</v>
      </c>
      <c r="F14" s="34">
        <v>25003.05</v>
      </c>
      <c r="G14" s="35"/>
      <c r="H14" s="35"/>
      <c r="I14" s="35"/>
      <c r="J14" s="36"/>
      <c r="K14" s="37"/>
    </row>
    <row r="15" spans="2:13" ht="16.8" x14ac:dyDescent="0.3">
      <c r="B15" s="33">
        <v>45802</v>
      </c>
      <c r="C15" s="38">
        <v>4002.1</v>
      </c>
      <c r="D15" s="35"/>
      <c r="E15" s="33">
        <v>45802</v>
      </c>
      <c r="F15" s="38">
        <v>24750.7</v>
      </c>
      <c r="G15" s="35"/>
      <c r="H15" s="35"/>
      <c r="I15" s="35"/>
      <c r="J15" s="36"/>
      <c r="K15" s="39"/>
    </row>
    <row r="16" spans="2:13" ht="16.8" x14ac:dyDescent="0.3">
      <c r="B16" s="33">
        <v>45795</v>
      </c>
      <c r="C16" s="38">
        <v>4140.8</v>
      </c>
      <c r="D16" s="35"/>
      <c r="E16" s="33">
        <v>45795</v>
      </c>
      <c r="F16" s="38">
        <v>24853.15</v>
      </c>
      <c r="G16" s="35"/>
      <c r="H16" s="35"/>
      <c r="I16" s="35"/>
      <c r="J16" s="36"/>
      <c r="K16" s="39"/>
    </row>
    <row r="17" spans="2:11" ht="16.8" x14ac:dyDescent="0.3">
      <c r="B17" s="33">
        <v>45788</v>
      </c>
      <c r="C17" s="34">
        <v>4189.7</v>
      </c>
      <c r="D17" s="35"/>
      <c r="E17" s="33">
        <v>45788</v>
      </c>
      <c r="F17" s="34">
        <v>25019.8</v>
      </c>
      <c r="G17" s="35"/>
      <c r="H17" s="35"/>
      <c r="I17" s="35"/>
      <c r="J17" s="36"/>
      <c r="K17" s="37"/>
    </row>
    <row r="18" spans="2:11" ht="16.8" x14ac:dyDescent="0.3">
      <c r="B18" s="33">
        <v>45781</v>
      </c>
      <c r="C18" s="38">
        <v>3972.4</v>
      </c>
      <c r="D18" s="35"/>
      <c r="E18" s="33">
        <v>45781</v>
      </c>
      <c r="F18" s="38">
        <v>24008</v>
      </c>
      <c r="G18" s="35"/>
      <c r="H18" s="35"/>
      <c r="I18" s="35"/>
      <c r="J18" s="36"/>
      <c r="K18" s="39"/>
    </row>
    <row r="19" spans="2:11" ht="16.8" x14ac:dyDescent="0.3">
      <c r="B19" s="33">
        <v>45774</v>
      </c>
      <c r="C19" s="38">
        <v>4059.2</v>
      </c>
      <c r="D19" s="35"/>
      <c r="E19" s="33">
        <v>45774</v>
      </c>
      <c r="F19" s="34">
        <v>24346.7</v>
      </c>
      <c r="G19" s="35"/>
      <c r="H19" s="35"/>
      <c r="I19" s="35"/>
      <c r="J19" s="36"/>
      <c r="K19" s="37"/>
    </row>
    <row r="20" spans="2:11" ht="16.8" x14ac:dyDescent="0.3">
      <c r="B20" s="33">
        <v>45767</v>
      </c>
      <c r="C20" s="34">
        <v>4375.2</v>
      </c>
      <c r="D20" s="35"/>
      <c r="E20" s="33">
        <v>45767</v>
      </c>
      <c r="F20" s="34">
        <v>24039.35</v>
      </c>
      <c r="G20" s="35"/>
      <c r="H20" s="35"/>
      <c r="I20" s="35"/>
      <c r="J20" s="36"/>
      <c r="K20" s="37"/>
    </row>
    <row r="21" spans="2:11" ht="16.8" x14ac:dyDescent="0.3">
      <c r="B21" s="33">
        <v>45760</v>
      </c>
      <c r="C21" s="34">
        <v>4357.1000000000004</v>
      </c>
      <c r="D21" s="35"/>
      <c r="E21" s="33">
        <v>45760</v>
      </c>
      <c r="F21" s="34">
        <v>23851.65</v>
      </c>
      <c r="G21" s="35"/>
      <c r="H21" s="35"/>
      <c r="I21" s="35"/>
      <c r="J21" s="36"/>
      <c r="K21" s="37"/>
    </row>
    <row r="22" spans="2:11" ht="16.8" x14ac:dyDescent="0.3">
      <c r="B22" s="33">
        <v>45753</v>
      </c>
      <c r="C22" s="34">
        <v>4131.5</v>
      </c>
      <c r="D22" s="35"/>
      <c r="E22" s="33">
        <v>45753</v>
      </c>
      <c r="F22" s="38">
        <v>22828.55</v>
      </c>
      <c r="G22" s="35"/>
      <c r="H22" s="35"/>
      <c r="I22" s="35"/>
      <c r="J22" s="36"/>
      <c r="K22" s="39"/>
    </row>
    <row r="23" spans="2:11" ht="16.8" x14ac:dyDescent="0.3">
      <c r="B23" s="33">
        <v>45746</v>
      </c>
      <c r="C23" s="38">
        <v>4039.9</v>
      </c>
      <c r="D23" s="35"/>
      <c r="E23" s="33">
        <v>45746</v>
      </c>
      <c r="F23" s="38">
        <v>22904.45</v>
      </c>
      <c r="G23" s="35"/>
      <c r="H23" s="35"/>
      <c r="I23" s="35"/>
      <c r="J23" s="36"/>
      <c r="K23" s="39"/>
    </row>
    <row r="24" spans="2:11" ht="16.8" x14ac:dyDescent="0.3">
      <c r="B24" s="33">
        <v>45739</v>
      </c>
      <c r="C24" s="34">
        <v>4083.2</v>
      </c>
      <c r="D24" s="35"/>
      <c r="E24" s="33">
        <v>45739</v>
      </c>
      <c r="F24" s="34">
        <v>23519.35</v>
      </c>
      <c r="G24" s="35"/>
      <c r="H24" s="35"/>
      <c r="I24" s="35"/>
      <c r="J24" s="36"/>
      <c r="K24" s="37"/>
    </row>
    <row r="25" spans="2:11" ht="16.8" x14ac:dyDescent="0.3">
      <c r="B25" s="33">
        <v>45732</v>
      </c>
      <c r="C25" s="34">
        <v>3892.2</v>
      </c>
      <c r="D25" s="35"/>
      <c r="E25" s="33">
        <v>45732</v>
      </c>
      <c r="F25" s="34">
        <v>23350.400000000001</v>
      </c>
      <c r="G25" s="35"/>
      <c r="H25" s="35"/>
      <c r="I25" s="35"/>
      <c r="J25" s="36"/>
      <c r="K25" s="37"/>
    </row>
    <row r="26" spans="2:11" ht="16.8" x14ac:dyDescent="0.3">
      <c r="B26" s="33">
        <v>45725</v>
      </c>
      <c r="C26" s="34">
        <v>3797.1</v>
      </c>
      <c r="D26" s="35"/>
      <c r="E26" s="33">
        <v>45725</v>
      </c>
      <c r="F26" s="38">
        <v>22397.200000000001</v>
      </c>
      <c r="G26" s="35"/>
      <c r="H26" s="35"/>
      <c r="I26" s="35"/>
      <c r="J26" s="36"/>
      <c r="K26" s="39"/>
    </row>
    <row r="27" spans="2:11" ht="16.8" x14ac:dyDescent="0.3">
      <c r="B27" s="33">
        <v>45718</v>
      </c>
      <c r="C27" s="34">
        <v>3593.6</v>
      </c>
      <c r="D27" s="35"/>
      <c r="E27" s="33">
        <v>45718</v>
      </c>
      <c r="F27" s="34">
        <v>22552.5</v>
      </c>
      <c r="G27" s="35"/>
      <c r="H27" s="35"/>
      <c r="I27" s="35"/>
      <c r="J27" s="36"/>
      <c r="K27" s="37"/>
    </row>
    <row r="28" spans="2:11" ht="16.8" x14ac:dyDescent="0.3">
      <c r="B28" s="33">
        <v>45711</v>
      </c>
      <c r="C28" s="38">
        <v>3403.95</v>
      </c>
      <c r="D28" s="35"/>
      <c r="E28" s="33">
        <v>45711</v>
      </c>
      <c r="F28" s="38">
        <v>22124.7</v>
      </c>
      <c r="G28" s="35"/>
      <c r="H28" s="35"/>
      <c r="I28" s="35"/>
      <c r="J28" s="36"/>
      <c r="K28" s="39"/>
    </row>
    <row r="29" spans="2:11" ht="16.8" x14ac:dyDescent="0.3">
      <c r="B29" s="33">
        <v>45704</v>
      </c>
      <c r="C29" s="38">
        <v>3596.7</v>
      </c>
      <c r="D29" s="35"/>
      <c r="E29" s="33">
        <v>45704</v>
      </c>
      <c r="F29" s="38">
        <v>22795.9</v>
      </c>
      <c r="G29" s="35"/>
      <c r="H29" s="35"/>
      <c r="I29" s="35"/>
      <c r="J29" s="36"/>
      <c r="K29" s="39"/>
    </row>
    <row r="30" spans="2:11" ht="16.8" x14ac:dyDescent="0.3">
      <c r="B30" s="33">
        <v>45697</v>
      </c>
      <c r="C30" s="38">
        <v>3682.65</v>
      </c>
      <c r="D30" s="35"/>
      <c r="E30" s="33">
        <v>45697</v>
      </c>
      <c r="F30" s="38">
        <v>22929.25</v>
      </c>
      <c r="G30" s="35"/>
      <c r="H30" s="35"/>
      <c r="I30" s="35"/>
      <c r="J30" s="36"/>
      <c r="K30" s="39"/>
    </row>
    <row r="31" spans="2:11" ht="16.8" x14ac:dyDescent="0.3">
      <c r="B31" s="33">
        <v>45690</v>
      </c>
      <c r="C31" s="34">
        <v>3743.5</v>
      </c>
      <c r="D31" s="35"/>
      <c r="E31" s="33">
        <v>45690</v>
      </c>
      <c r="F31" s="34">
        <v>23559.95</v>
      </c>
      <c r="G31" s="35"/>
      <c r="H31" s="35"/>
      <c r="I31" s="35"/>
      <c r="J31" s="36"/>
      <c r="K31" s="37"/>
    </row>
    <row r="32" spans="2:11" ht="16.8" x14ac:dyDescent="0.3">
      <c r="B32" s="33">
        <v>45683</v>
      </c>
      <c r="C32" s="34">
        <v>3664.65</v>
      </c>
      <c r="D32" s="35"/>
      <c r="E32" s="33">
        <v>45683</v>
      </c>
      <c r="F32" s="34">
        <v>23508.400000000001</v>
      </c>
      <c r="G32" s="35"/>
      <c r="H32" s="35"/>
      <c r="I32" s="35"/>
      <c r="J32" s="36"/>
      <c r="K32" s="37"/>
    </row>
    <row r="33" spans="2:11" ht="16.8" x14ac:dyDescent="0.3">
      <c r="B33" s="33">
        <v>45676</v>
      </c>
      <c r="C33" s="38">
        <v>3579.95</v>
      </c>
      <c r="D33" s="35"/>
      <c r="E33" s="33">
        <v>45676</v>
      </c>
      <c r="F33" s="38">
        <v>23092.2</v>
      </c>
      <c r="G33" s="35"/>
      <c r="H33" s="35"/>
      <c r="I33" s="35"/>
      <c r="J33" s="36"/>
      <c r="K33" s="39"/>
    </row>
    <row r="34" spans="2:11" ht="16.8" x14ac:dyDescent="0.3">
      <c r="B34" s="33">
        <v>45669</v>
      </c>
      <c r="C34" s="38">
        <v>3620.65</v>
      </c>
      <c r="D34" s="35"/>
      <c r="E34" s="33">
        <v>45669</v>
      </c>
      <c r="F34" s="38">
        <v>23203.200000000001</v>
      </c>
      <c r="G34" s="35"/>
      <c r="H34" s="35"/>
      <c r="I34" s="35"/>
      <c r="J34" s="36"/>
      <c r="K34" s="39"/>
    </row>
    <row r="35" spans="2:11" ht="16.8" x14ac:dyDescent="0.3">
      <c r="B35" s="33">
        <v>45662</v>
      </c>
      <c r="C35" s="38">
        <v>3686.25</v>
      </c>
      <c r="D35" s="35"/>
      <c r="E35" s="33">
        <v>45662</v>
      </c>
      <c r="F35" s="38">
        <v>23431.5</v>
      </c>
      <c r="G35" s="35"/>
      <c r="H35" s="35"/>
      <c r="I35" s="35"/>
      <c r="J35" s="36"/>
      <c r="K35" s="39"/>
    </row>
    <row r="36" spans="2:11" ht="16.8" x14ac:dyDescent="0.3">
      <c r="B36" s="33">
        <v>45655</v>
      </c>
      <c r="C36" s="34">
        <v>4025.2</v>
      </c>
      <c r="D36" s="35"/>
      <c r="E36" s="33">
        <v>45655</v>
      </c>
      <c r="F36" s="34">
        <v>24004.75</v>
      </c>
      <c r="G36" s="35"/>
      <c r="H36" s="35"/>
      <c r="I36" s="35"/>
      <c r="J36" s="36"/>
      <c r="K36" s="37"/>
    </row>
    <row r="37" spans="2:11" ht="16.8" x14ac:dyDescent="0.3">
      <c r="B37" s="33">
        <v>45648</v>
      </c>
      <c r="C37" s="34">
        <v>3568.35</v>
      </c>
      <c r="D37" s="35"/>
      <c r="E37" s="33">
        <v>45648</v>
      </c>
      <c r="F37" s="34">
        <v>23813.4</v>
      </c>
      <c r="G37" s="35"/>
      <c r="H37" s="35"/>
      <c r="I37" s="35"/>
      <c r="J37" s="36"/>
      <c r="K37" s="37"/>
    </row>
    <row r="38" spans="2:11" ht="16.8" x14ac:dyDescent="0.3">
      <c r="B38" s="33">
        <v>45641</v>
      </c>
      <c r="C38" s="38">
        <v>3408.3</v>
      </c>
      <c r="D38" s="35"/>
      <c r="E38" s="33">
        <v>45641</v>
      </c>
      <c r="F38" s="38">
        <v>23587.5</v>
      </c>
      <c r="G38" s="35"/>
      <c r="H38" s="35"/>
      <c r="I38" s="35"/>
      <c r="J38" s="36"/>
      <c r="K38" s="39"/>
    </row>
    <row r="39" spans="2:11" ht="16.8" x14ac:dyDescent="0.3">
      <c r="B39" s="33">
        <v>45634</v>
      </c>
      <c r="C39" s="38">
        <v>3652.3</v>
      </c>
      <c r="D39" s="35"/>
      <c r="E39" s="33">
        <v>45634</v>
      </c>
      <c r="F39" s="34">
        <v>24768.3</v>
      </c>
      <c r="G39" s="35"/>
      <c r="H39" s="35"/>
      <c r="I39" s="35"/>
      <c r="J39" s="36"/>
      <c r="K39" s="37"/>
    </row>
    <row r="40" spans="2:11" ht="16.8" x14ac:dyDescent="0.3">
      <c r="B40" s="33">
        <v>45627</v>
      </c>
      <c r="C40" s="34">
        <v>3805.55</v>
      </c>
      <c r="D40" s="35"/>
      <c r="E40" s="33">
        <v>45627</v>
      </c>
      <c r="F40" s="34">
        <v>24677.8</v>
      </c>
      <c r="G40" s="35"/>
      <c r="H40" s="35"/>
      <c r="I40" s="35"/>
      <c r="J40" s="36"/>
      <c r="K40" s="37"/>
    </row>
    <row r="41" spans="2:11" ht="16.8" x14ac:dyDescent="0.3">
      <c r="B41" s="33">
        <v>45620</v>
      </c>
      <c r="C41" s="34">
        <v>3709.6</v>
      </c>
      <c r="D41" s="35"/>
      <c r="E41" s="33">
        <v>45620</v>
      </c>
      <c r="F41" s="34">
        <v>24131.1</v>
      </c>
      <c r="G41" s="35"/>
      <c r="H41" s="35"/>
      <c r="I41" s="35"/>
      <c r="J41" s="36"/>
      <c r="K41" s="37"/>
    </row>
    <row r="42" spans="2:11" ht="16.8" x14ac:dyDescent="0.3">
      <c r="B42" s="33">
        <v>45613</v>
      </c>
      <c r="C42" s="38">
        <v>3613.65</v>
      </c>
      <c r="D42" s="35"/>
      <c r="E42" s="33">
        <v>45613</v>
      </c>
      <c r="F42" s="34">
        <v>23907.25</v>
      </c>
      <c r="G42" s="35"/>
      <c r="H42" s="35"/>
      <c r="I42" s="35"/>
      <c r="J42" s="36"/>
      <c r="K42" s="37"/>
    </row>
    <row r="43" spans="2:11" ht="16.8" x14ac:dyDescent="0.3">
      <c r="B43" s="33">
        <v>45606</v>
      </c>
      <c r="C43" s="38">
        <v>3823.85</v>
      </c>
      <c r="D43" s="35"/>
      <c r="E43" s="33">
        <v>45606</v>
      </c>
      <c r="F43" s="38">
        <v>23532.7</v>
      </c>
      <c r="G43" s="35"/>
      <c r="H43" s="35"/>
      <c r="I43" s="35"/>
      <c r="J43" s="36"/>
      <c r="K43" s="39"/>
    </row>
    <row r="44" spans="2:11" ht="16.8" x14ac:dyDescent="0.3">
      <c r="B44" s="33">
        <v>45599</v>
      </c>
      <c r="C44" s="38">
        <v>3874.5</v>
      </c>
      <c r="D44" s="35"/>
      <c r="E44" s="33">
        <v>45599</v>
      </c>
      <c r="F44" s="38">
        <v>24148.2</v>
      </c>
      <c r="G44" s="35"/>
      <c r="H44" s="35"/>
      <c r="I44" s="35"/>
      <c r="J44" s="36"/>
      <c r="K44" s="39"/>
    </row>
    <row r="45" spans="2:11" ht="16.8" x14ac:dyDescent="0.3">
      <c r="B45" s="33">
        <v>45592</v>
      </c>
      <c r="C45" s="38">
        <v>4001.6</v>
      </c>
      <c r="D45" s="35"/>
      <c r="E45" s="33">
        <v>45592</v>
      </c>
      <c r="F45" s="34">
        <v>24304.35</v>
      </c>
      <c r="G45" s="35"/>
      <c r="H45" s="35"/>
      <c r="I45" s="35"/>
      <c r="J45" s="36"/>
      <c r="K45" s="37"/>
    </row>
    <row r="46" spans="2:11" ht="16.8" x14ac:dyDescent="0.3">
      <c r="B46" s="33">
        <v>45585</v>
      </c>
      <c r="C46" s="34">
        <v>4052.2</v>
      </c>
      <c r="D46" s="35"/>
      <c r="E46" s="33">
        <v>45585</v>
      </c>
      <c r="F46" s="38">
        <v>24180.799999999999</v>
      </c>
      <c r="G46" s="35"/>
      <c r="H46" s="35"/>
      <c r="I46" s="35"/>
      <c r="J46" s="36"/>
      <c r="K46" s="39"/>
    </row>
    <row r="47" spans="2:11" ht="16.8" x14ac:dyDescent="0.3">
      <c r="B47" s="33">
        <v>45578</v>
      </c>
      <c r="C47" s="38">
        <v>3986.7</v>
      </c>
      <c r="D47" s="35"/>
      <c r="E47" s="33">
        <v>45578</v>
      </c>
      <c r="F47" s="38">
        <v>24854.05</v>
      </c>
      <c r="G47" s="35"/>
      <c r="H47" s="35"/>
      <c r="I47" s="35"/>
      <c r="J47" s="36"/>
      <c r="K47" s="39"/>
    </row>
    <row r="48" spans="2:11" ht="16.8" x14ac:dyDescent="0.3">
      <c r="B48" s="33">
        <v>45571</v>
      </c>
      <c r="C48" s="38">
        <v>4572.7</v>
      </c>
      <c r="D48" s="35"/>
      <c r="E48" s="33">
        <v>45571</v>
      </c>
      <c r="F48" s="38">
        <v>24964.25</v>
      </c>
      <c r="G48" s="35"/>
      <c r="H48" s="35"/>
      <c r="I48" s="35"/>
      <c r="J48" s="36"/>
      <c r="K48" s="39"/>
    </row>
    <row r="49" spans="2:11" ht="16.8" x14ac:dyDescent="0.3">
      <c r="B49" s="33">
        <v>45564</v>
      </c>
      <c r="C49" s="38">
        <v>4737.55</v>
      </c>
      <c r="D49" s="35"/>
      <c r="E49" s="33">
        <v>45564</v>
      </c>
      <c r="F49" s="38">
        <v>25014.6</v>
      </c>
      <c r="G49" s="35"/>
      <c r="H49" s="35"/>
      <c r="I49" s="35"/>
      <c r="J49" s="36"/>
      <c r="K49" s="39"/>
    </row>
    <row r="50" spans="2:11" ht="16.8" x14ac:dyDescent="0.3">
      <c r="B50" s="33">
        <v>45557</v>
      </c>
      <c r="C50" s="38">
        <v>5102.3</v>
      </c>
      <c r="D50" s="35"/>
      <c r="E50" s="33">
        <v>45557</v>
      </c>
      <c r="F50" s="34">
        <v>26178.95</v>
      </c>
      <c r="G50" s="35"/>
      <c r="H50" s="35"/>
      <c r="I50" s="35"/>
      <c r="J50" s="36"/>
      <c r="K50" s="37"/>
    </row>
    <row r="51" spans="2:11" ht="16.8" x14ac:dyDescent="0.3">
      <c r="B51" s="33">
        <v>45550</v>
      </c>
      <c r="C51" s="34">
        <v>5320.55</v>
      </c>
      <c r="D51" s="35"/>
      <c r="E51" s="33">
        <v>45550</v>
      </c>
      <c r="F51" s="34">
        <v>25790.95</v>
      </c>
      <c r="G51" s="35"/>
      <c r="H51" s="35"/>
      <c r="I51" s="35"/>
      <c r="J51" s="36"/>
      <c r="K51" s="37"/>
    </row>
    <row r="52" spans="2:11" ht="16.8" x14ac:dyDescent="0.3">
      <c r="B52" s="33">
        <v>45543</v>
      </c>
      <c r="C52" s="38">
        <v>5187.05</v>
      </c>
      <c r="D52" s="35"/>
      <c r="E52" s="33">
        <v>45543</v>
      </c>
      <c r="F52" s="34">
        <v>25356.5</v>
      </c>
      <c r="G52" s="35"/>
      <c r="H52" s="35"/>
      <c r="I52" s="35"/>
      <c r="J52" s="36"/>
      <c r="K52" s="37"/>
    </row>
    <row r="53" spans="2:11" ht="16.8" x14ac:dyDescent="0.3">
      <c r="B53" s="33">
        <v>45536</v>
      </c>
      <c r="C53" s="34">
        <v>5303.45</v>
      </c>
      <c r="D53" s="35"/>
      <c r="E53" s="33">
        <v>45536</v>
      </c>
      <c r="F53" s="38">
        <v>24852.15</v>
      </c>
      <c r="G53" s="35"/>
      <c r="H53" s="35"/>
      <c r="I53" s="35"/>
      <c r="J53" s="36"/>
      <c r="K53" s="39"/>
    </row>
    <row r="54" spans="2:11" ht="16.8" x14ac:dyDescent="0.3">
      <c r="B54" s="33">
        <v>45529</v>
      </c>
      <c r="C54" s="34">
        <v>4927.45</v>
      </c>
      <c r="D54" s="35"/>
      <c r="E54" s="33">
        <v>45529</v>
      </c>
      <c r="F54" s="34">
        <v>25235.9</v>
      </c>
      <c r="G54" s="35"/>
      <c r="H54" s="35"/>
      <c r="I54" s="35"/>
      <c r="J54" s="36"/>
      <c r="K54" s="37"/>
    </row>
    <row r="55" spans="2:11" ht="16.8" x14ac:dyDescent="0.3">
      <c r="B55" s="33">
        <v>45522</v>
      </c>
      <c r="C55" s="38">
        <v>4901.5</v>
      </c>
      <c r="D55" s="35"/>
      <c r="E55" s="33">
        <v>45522</v>
      </c>
      <c r="F55" s="34">
        <v>24823.15</v>
      </c>
      <c r="G55" s="35"/>
      <c r="H55" s="35"/>
      <c r="I55" s="35"/>
      <c r="J55" s="36"/>
      <c r="K55" s="37"/>
    </row>
    <row r="56" spans="2:11" ht="16.8" x14ac:dyDescent="0.3">
      <c r="B56" s="33">
        <v>45515</v>
      </c>
      <c r="C56" s="34">
        <v>5021.3</v>
      </c>
      <c r="D56" s="35"/>
      <c r="E56" s="33">
        <v>45515</v>
      </c>
      <c r="F56" s="34">
        <v>24541.15</v>
      </c>
      <c r="G56" s="35"/>
      <c r="H56" s="35"/>
      <c r="I56" s="35"/>
      <c r="J56" s="36"/>
      <c r="K56" s="37"/>
    </row>
    <row r="57" spans="2:11" ht="16.8" x14ac:dyDescent="0.3">
      <c r="B57" s="33">
        <v>45508</v>
      </c>
      <c r="C57" s="34">
        <v>4989.95</v>
      </c>
      <c r="D57" s="35"/>
      <c r="E57" s="33">
        <v>45508</v>
      </c>
      <c r="F57" s="38">
        <v>24367.5</v>
      </c>
      <c r="G57" s="35"/>
      <c r="H57" s="35"/>
      <c r="I57" s="35"/>
      <c r="J57" s="36"/>
      <c r="K57" s="39"/>
    </row>
    <row r="58" spans="2:11" ht="16.8" x14ac:dyDescent="0.3">
      <c r="B58" s="33">
        <v>45501</v>
      </c>
      <c r="C58" s="38">
        <v>4909.7</v>
      </c>
      <c r="D58" s="35"/>
      <c r="E58" s="33">
        <v>45501</v>
      </c>
      <c r="F58" s="38">
        <v>24717.7</v>
      </c>
      <c r="G58" s="35"/>
      <c r="H58" s="35"/>
      <c r="I58" s="35"/>
      <c r="J58" s="36"/>
      <c r="K58" s="39"/>
    </row>
    <row r="59" spans="2:11" ht="16.8" x14ac:dyDescent="0.3">
      <c r="B59" s="33">
        <v>45494</v>
      </c>
      <c r="C59" s="34">
        <v>5071.6000000000004</v>
      </c>
      <c r="D59" s="35"/>
      <c r="E59" s="33">
        <v>45494</v>
      </c>
      <c r="F59" s="34">
        <v>24834.85</v>
      </c>
      <c r="G59" s="35"/>
      <c r="H59" s="35"/>
      <c r="I59" s="35"/>
      <c r="J59" s="36"/>
      <c r="K59" s="37"/>
    </row>
    <row r="60" spans="2:11" ht="16.8" x14ac:dyDescent="0.3">
      <c r="B60" s="33">
        <v>45487</v>
      </c>
      <c r="C60" s="34">
        <v>5010.7</v>
      </c>
      <c r="D60" s="35"/>
      <c r="E60" s="33">
        <v>45487</v>
      </c>
      <c r="F60" s="34">
        <v>24530.9</v>
      </c>
      <c r="G60" s="35"/>
      <c r="H60" s="35"/>
      <c r="I60" s="35"/>
      <c r="J60" s="36"/>
      <c r="K60" s="37"/>
    </row>
    <row r="61" spans="2:11" ht="16.8" x14ac:dyDescent="0.3">
      <c r="B61" s="33">
        <v>45480</v>
      </c>
      <c r="C61" s="34">
        <v>4943.6499999999996</v>
      </c>
      <c r="D61" s="35"/>
      <c r="E61" s="33">
        <v>45480</v>
      </c>
      <c r="F61" s="34">
        <v>24502.15</v>
      </c>
      <c r="G61" s="35"/>
      <c r="H61" s="35"/>
      <c r="I61" s="35"/>
      <c r="J61" s="36"/>
      <c r="K61" s="37"/>
    </row>
    <row r="62" spans="2:11" ht="16.8" x14ac:dyDescent="0.3">
      <c r="B62" s="33">
        <v>45473</v>
      </c>
      <c r="C62" s="34">
        <v>4853.1000000000004</v>
      </c>
      <c r="D62" s="35"/>
      <c r="E62" s="33">
        <v>45473</v>
      </c>
      <c r="F62" s="34">
        <v>24323.85</v>
      </c>
      <c r="G62" s="35"/>
      <c r="H62" s="35"/>
      <c r="I62" s="35"/>
      <c r="J62" s="36"/>
      <c r="K62" s="37"/>
    </row>
    <row r="63" spans="2:11" ht="16.8" x14ac:dyDescent="0.3">
      <c r="B63" s="33">
        <v>45466</v>
      </c>
      <c r="C63" s="38">
        <v>4716.75</v>
      </c>
      <c r="D63" s="35"/>
      <c r="E63" s="33">
        <v>45466</v>
      </c>
      <c r="F63" s="34">
        <v>24010.6</v>
      </c>
      <c r="G63" s="35"/>
      <c r="H63" s="35"/>
      <c r="I63" s="35"/>
      <c r="J63" s="36"/>
      <c r="K63" s="37"/>
    </row>
    <row r="64" spans="2:11" ht="16.8" x14ac:dyDescent="0.3">
      <c r="B64" s="33">
        <v>45459</v>
      </c>
      <c r="C64" s="34">
        <v>4804.8500000000004</v>
      </c>
      <c r="D64" s="35"/>
      <c r="E64" s="33">
        <v>45459</v>
      </c>
      <c r="F64" s="34">
        <v>23501.1</v>
      </c>
      <c r="G64" s="35"/>
      <c r="H64" s="35"/>
      <c r="I64" s="35"/>
      <c r="J64" s="36"/>
      <c r="K64" s="37"/>
    </row>
    <row r="65" spans="2:11" ht="16.8" x14ac:dyDescent="0.3">
      <c r="B65" s="33">
        <v>45452</v>
      </c>
      <c r="C65" s="38">
        <v>4739.95</v>
      </c>
      <c r="D65" s="35"/>
      <c r="E65" s="33">
        <v>45452</v>
      </c>
      <c r="F65" s="34">
        <v>23465.599999999999</v>
      </c>
      <c r="G65" s="35"/>
      <c r="H65" s="35"/>
      <c r="I65" s="35"/>
      <c r="J65" s="36"/>
      <c r="K65" s="37"/>
    </row>
    <row r="66" spans="2:11" ht="16.8" x14ac:dyDescent="0.3">
      <c r="B66" s="33">
        <v>45445</v>
      </c>
      <c r="C66" s="34">
        <v>4747.25</v>
      </c>
      <c r="D66" s="35"/>
      <c r="E66" s="33">
        <v>45445</v>
      </c>
      <c r="F66" s="34">
        <v>23290.15</v>
      </c>
      <c r="G66" s="35"/>
      <c r="H66" s="35"/>
      <c r="I66" s="35"/>
      <c r="J66" s="36"/>
      <c r="K66" s="37"/>
    </row>
    <row r="67" spans="2:11" ht="16.8" x14ac:dyDescent="0.3">
      <c r="B67" s="33">
        <v>45438</v>
      </c>
      <c r="C67" s="38">
        <v>4302.1499999999996</v>
      </c>
      <c r="D67" s="35"/>
      <c r="E67" s="33">
        <v>45438</v>
      </c>
      <c r="F67" s="38">
        <v>22530.7</v>
      </c>
      <c r="G67" s="35"/>
      <c r="H67" s="35"/>
      <c r="I67" s="35"/>
      <c r="J67" s="36"/>
      <c r="K67" s="39"/>
    </row>
    <row r="68" spans="2:11" ht="16.8" x14ac:dyDescent="0.3">
      <c r="B68" s="33">
        <v>45431</v>
      </c>
      <c r="C68" s="34">
        <v>4684.5</v>
      </c>
      <c r="D68" s="35"/>
      <c r="E68" s="33">
        <v>45431</v>
      </c>
      <c r="F68" s="34">
        <v>22957.1</v>
      </c>
      <c r="G68" s="35"/>
      <c r="H68" s="35"/>
      <c r="I68" s="35"/>
      <c r="J68" s="36"/>
      <c r="K68" s="37"/>
    </row>
    <row r="69" spans="2:11" ht="16.8" x14ac:dyDescent="0.3">
      <c r="B69" s="33">
        <v>45424</v>
      </c>
      <c r="C69" s="38">
        <v>4682.8999999999996</v>
      </c>
      <c r="D69" s="35"/>
      <c r="E69" s="33">
        <v>45424</v>
      </c>
      <c r="F69" s="34">
        <v>22466.1</v>
      </c>
      <c r="G69" s="35"/>
      <c r="H69" s="35"/>
      <c r="I69" s="35"/>
      <c r="J69" s="36"/>
      <c r="K69" s="37"/>
    </row>
    <row r="70" spans="2:11" ht="16.8" x14ac:dyDescent="0.3">
      <c r="B70" s="33">
        <v>45417</v>
      </c>
      <c r="C70" s="34">
        <v>4796.8</v>
      </c>
      <c r="D70" s="35"/>
      <c r="E70" s="33">
        <v>45417</v>
      </c>
      <c r="F70" s="38">
        <v>22055.200000000001</v>
      </c>
      <c r="G70" s="35"/>
      <c r="H70" s="35"/>
      <c r="I70" s="35"/>
      <c r="J70" s="36"/>
      <c r="K70" s="39"/>
    </row>
    <row r="71" spans="2:11" ht="16.8" x14ac:dyDescent="0.3">
      <c r="B71" s="33">
        <v>45410</v>
      </c>
      <c r="C71" s="34">
        <v>4612.3500000000004</v>
      </c>
      <c r="D71" s="35"/>
      <c r="E71" s="33">
        <v>45410</v>
      </c>
      <c r="F71" s="34">
        <v>22475.85</v>
      </c>
      <c r="G71" s="35"/>
      <c r="H71" s="35"/>
      <c r="I71" s="35"/>
      <c r="J71" s="36"/>
      <c r="K71" s="37"/>
    </row>
    <row r="72" spans="2:11" ht="16.8" x14ac:dyDescent="0.3">
      <c r="B72" s="33">
        <v>45403</v>
      </c>
      <c r="C72" s="38">
        <v>4553.1499999999996</v>
      </c>
      <c r="D72" s="35"/>
      <c r="E72" s="33">
        <v>45403</v>
      </c>
      <c r="F72" s="34">
        <v>22419.95</v>
      </c>
      <c r="G72" s="35"/>
      <c r="H72" s="35"/>
      <c r="I72" s="35"/>
      <c r="J72" s="36"/>
      <c r="K72" s="37"/>
    </row>
    <row r="73" spans="2:11" ht="16.8" x14ac:dyDescent="0.3">
      <c r="B73" s="33">
        <v>45396</v>
      </c>
      <c r="C73" s="38">
        <v>4696</v>
      </c>
      <c r="D73" s="35"/>
      <c r="E73" s="33">
        <v>45396</v>
      </c>
      <c r="F73" s="38">
        <v>22147</v>
      </c>
      <c r="G73" s="35"/>
      <c r="H73" s="35"/>
      <c r="I73" s="35"/>
      <c r="J73" s="36"/>
      <c r="K73" s="39"/>
    </row>
    <row r="74" spans="2:11" ht="16.8" x14ac:dyDescent="0.3">
      <c r="B74" s="33">
        <v>45389</v>
      </c>
      <c r="C74" s="34">
        <v>4765.05</v>
      </c>
      <c r="D74" s="35"/>
      <c r="E74" s="33">
        <v>45389</v>
      </c>
      <c r="F74" s="34">
        <v>22519.4</v>
      </c>
      <c r="G74" s="35"/>
      <c r="H74" s="35"/>
      <c r="I74" s="35"/>
      <c r="J74" s="36"/>
      <c r="K74" s="37"/>
    </row>
    <row r="75" spans="2:11" ht="16.8" x14ac:dyDescent="0.3">
      <c r="B75" s="33">
        <v>45382</v>
      </c>
      <c r="C75" s="34">
        <v>4619.25</v>
      </c>
      <c r="D75" s="35"/>
      <c r="E75" s="33">
        <v>45382</v>
      </c>
      <c r="F75" s="34">
        <v>22513.7</v>
      </c>
      <c r="G75" s="35"/>
      <c r="H75" s="35"/>
      <c r="I75" s="35"/>
      <c r="J75" s="36"/>
      <c r="K75" s="37"/>
    </row>
    <row r="76" spans="2:11" ht="16.8" x14ac:dyDescent="0.3">
      <c r="B76" s="33">
        <v>45375</v>
      </c>
      <c r="C76" s="34">
        <v>4525.6000000000004</v>
      </c>
      <c r="D76" s="35"/>
      <c r="E76" s="33">
        <v>45375</v>
      </c>
      <c r="F76" s="34">
        <v>22326.9</v>
      </c>
      <c r="G76" s="35"/>
      <c r="H76" s="35"/>
      <c r="I76" s="35"/>
      <c r="J76" s="36"/>
      <c r="K76" s="37"/>
    </row>
    <row r="77" spans="2:11" ht="16.8" x14ac:dyDescent="0.3">
      <c r="B77" s="33">
        <v>45368</v>
      </c>
      <c r="C77" s="34">
        <v>4297.6000000000004</v>
      </c>
      <c r="D77" s="35"/>
      <c r="E77" s="33">
        <v>45368</v>
      </c>
      <c r="F77" s="34">
        <v>22096.75</v>
      </c>
      <c r="G77" s="35"/>
      <c r="H77" s="35"/>
      <c r="I77" s="35"/>
      <c r="J77" s="36"/>
      <c r="K77" s="37"/>
    </row>
    <row r="78" spans="2:11" ht="16.8" x14ac:dyDescent="0.3">
      <c r="B78" s="33">
        <v>45361</v>
      </c>
      <c r="C78" s="34">
        <v>3932.1</v>
      </c>
      <c r="D78" s="35"/>
      <c r="E78" s="33">
        <v>45361</v>
      </c>
      <c r="F78" s="38">
        <v>22023.35</v>
      </c>
      <c r="G78" s="35"/>
      <c r="H78" s="35"/>
      <c r="I78" s="35"/>
      <c r="J78" s="36"/>
      <c r="K78" s="39"/>
    </row>
    <row r="79" spans="2:11" ht="16.8" x14ac:dyDescent="0.3">
      <c r="B79" s="33">
        <v>45354</v>
      </c>
      <c r="C79" s="34">
        <v>3925.95</v>
      </c>
      <c r="D79" s="35"/>
      <c r="E79" s="33">
        <v>45354</v>
      </c>
      <c r="F79" s="34">
        <v>22493.55</v>
      </c>
      <c r="G79" s="35"/>
      <c r="H79" s="35"/>
      <c r="I79" s="35"/>
      <c r="J79" s="36"/>
      <c r="K79" s="37"/>
    </row>
    <row r="80" spans="2:11" ht="16.8" x14ac:dyDescent="0.3">
      <c r="B80" s="33">
        <v>45347</v>
      </c>
      <c r="C80" s="34">
        <v>3884.15</v>
      </c>
      <c r="D80" s="35"/>
      <c r="E80" s="33">
        <v>45347</v>
      </c>
      <c r="F80" s="34">
        <v>22338.75</v>
      </c>
      <c r="G80" s="35"/>
      <c r="H80" s="35"/>
      <c r="I80" s="35"/>
      <c r="J80" s="36"/>
      <c r="K80" s="37"/>
    </row>
    <row r="81" spans="2:11" ht="16.8" x14ac:dyDescent="0.3">
      <c r="B81" s="33">
        <v>45340</v>
      </c>
      <c r="C81" s="34">
        <v>3840.55</v>
      </c>
      <c r="D81" s="35"/>
      <c r="E81" s="33">
        <v>45340</v>
      </c>
      <c r="F81" s="34">
        <v>22212.7</v>
      </c>
      <c r="G81" s="35"/>
      <c r="H81" s="35"/>
      <c r="I81" s="35"/>
      <c r="J81" s="36"/>
      <c r="K81" s="37"/>
    </row>
    <row r="82" spans="2:11" ht="16.8" x14ac:dyDescent="0.3">
      <c r="B82" s="33">
        <v>45333</v>
      </c>
      <c r="C82" s="38">
        <v>3693.3</v>
      </c>
      <c r="D82" s="35"/>
      <c r="E82" s="33">
        <v>45333</v>
      </c>
      <c r="F82" s="34">
        <v>22040.7</v>
      </c>
      <c r="G82" s="35"/>
      <c r="H82" s="35"/>
      <c r="I82" s="35"/>
      <c r="J82" s="36"/>
      <c r="K82" s="37"/>
    </row>
    <row r="83" spans="2:11" ht="16.8" x14ac:dyDescent="0.3">
      <c r="B83" s="33">
        <v>45326</v>
      </c>
      <c r="C83" s="38">
        <v>3719.2</v>
      </c>
      <c r="D83" s="35"/>
      <c r="E83" s="33">
        <v>45326</v>
      </c>
      <c r="F83" s="38">
        <v>21782.5</v>
      </c>
      <c r="G83" s="35"/>
      <c r="H83" s="35"/>
      <c r="I83" s="35"/>
      <c r="J83" s="36"/>
      <c r="K83" s="39"/>
    </row>
    <row r="84" spans="2:11" ht="16.8" x14ac:dyDescent="0.3">
      <c r="B84" s="33">
        <v>45319</v>
      </c>
      <c r="C84" s="34">
        <v>3784.3</v>
      </c>
      <c r="D84" s="35"/>
      <c r="E84" s="33">
        <v>45319</v>
      </c>
      <c r="F84" s="34">
        <v>21853.8</v>
      </c>
      <c r="G84" s="35"/>
      <c r="H84" s="35"/>
      <c r="I84" s="35"/>
      <c r="J84" s="36"/>
      <c r="K84" s="37"/>
    </row>
    <row r="85" spans="2:11" ht="16.8" x14ac:dyDescent="0.3">
      <c r="B85" s="33">
        <v>45312</v>
      </c>
      <c r="C85" s="34">
        <v>3734.25</v>
      </c>
      <c r="D85" s="35"/>
      <c r="E85" s="33">
        <v>45312</v>
      </c>
      <c r="F85" s="38">
        <v>21352.6</v>
      </c>
      <c r="G85" s="35"/>
      <c r="H85" s="35"/>
      <c r="I85" s="35"/>
      <c r="J85" s="36"/>
      <c r="K85" s="39"/>
    </row>
    <row r="86" spans="2:11" ht="16.8" x14ac:dyDescent="0.3">
      <c r="B86" s="33">
        <v>45305</v>
      </c>
      <c r="C86" s="38">
        <v>3731.7</v>
      </c>
      <c r="D86" s="35"/>
      <c r="E86" s="33">
        <v>45305</v>
      </c>
      <c r="F86" s="38">
        <v>21622.400000000001</v>
      </c>
      <c r="G86" s="35"/>
      <c r="H86" s="35"/>
      <c r="I86" s="35"/>
      <c r="J86" s="36"/>
      <c r="K86" s="39"/>
    </row>
    <row r="87" spans="2:11" ht="16.8" x14ac:dyDescent="0.3">
      <c r="B87" s="33">
        <v>45298</v>
      </c>
      <c r="C87" s="38">
        <v>3841</v>
      </c>
      <c r="D87" s="35"/>
      <c r="E87" s="33">
        <v>45298</v>
      </c>
      <c r="F87" s="34">
        <v>21894.55</v>
      </c>
      <c r="G87" s="35"/>
      <c r="H87" s="35"/>
      <c r="I87" s="35"/>
      <c r="J87" s="36"/>
      <c r="K87" s="37"/>
    </row>
    <row r="88" spans="2:11" ht="16.8" x14ac:dyDescent="0.3">
      <c r="B88" s="33">
        <v>45291</v>
      </c>
      <c r="C88" s="38">
        <v>3863.5</v>
      </c>
      <c r="D88" s="35"/>
      <c r="E88" s="33">
        <v>45291</v>
      </c>
      <c r="F88" s="38">
        <v>21710.799999999999</v>
      </c>
      <c r="G88" s="35"/>
      <c r="H88" s="35"/>
      <c r="I88" s="35"/>
      <c r="J88" s="36"/>
      <c r="K88" s="39"/>
    </row>
    <row r="89" spans="2:11" ht="16.8" x14ac:dyDescent="0.3">
      <c r="B89" s="33">
        <v>45284</v>
      </c>
      <c r="C89" s="34">
        <v>4082.65</v>
      </c>
      <c r="D89" s="35"/>
      <c r="E89" s="33">
        <v>45284</v>
      </c>
      <c r="F89" s="34">
        <v>21731.4</v>
      </c>
      <c r="G89" s="35"/>
      <c r="H89" s="35"/>
      <c r="I89" s="35"/>
      <c r="J89" s="36"/>
      <c r="K89" s="37"/>
    </row>
    <row r="90" spans="2:11" ht="16.8" x14ac:dyDescent="0.3">
      <c r="B90" s="33">
        <v>45277</v>
      </c>
      <c r="C90" s="38">
        <v>4007.95</v>
      </c>
      <c r="D90" s="35"/>
      <c r="E90" s="33">
        <v>45277</v>
      </c>
      <c r="F90" s="38">
        <v>21349.4</v>
      </c>
      <c r="G90" s="35"/>
      <c r="H90" s="35"/>
      <c r="I90" s="35"/>
      <c r="J90" s="36"/>
      <c r="K90" s="39"/>
    </row>
    <row r="91" spans="2:11" ht="16.8" x14ac:dyDescent="0.3">
      <c r="B91" s="33">
        <v>45270</v>
      </c>
      <c r="C91" s="38">
        <v>4045.65</v>
      </c>
      <c r="D91" s="35"/>
      <c r="E91" s="33">
        <v>45270</v>
      </c>
      <c r="F91" s="34">
        <v>21456.65</v>
      </c>
      <c r="G91" s="35"/>
      <c r="H91" s="35"/>
      <c r="I91" s="35"/>
      <c r="J91" s="36"/>
      <c r="K91" s="37"/>
    </row>
    <row r="92" spans="2:11" ht="16.8" x14ac:dyDescent="0.3">
      <c r="B92" s="33">
        <v>45263</v>
      </c>
      <c r="C92" s="34">
        <v>4070.65</v>
      </c>
      <c r="D92" s="35"/>
      <c r="E92" s="33">
        <v>45263</v>
      </c>
      <c r="F92" s="34">
        <v>20969.400000000001</v>
      </c>
      <c r="G92" s="35"/>
      <c r="H92" s="35"/>
      <c r="I92" s="35"/>
      <c r="J92" s="36"/>
      <c r="K92" s="37"/>
    </row>
    <row r="93" spans="2:11" ht="16.8" x14ac:dyDescent="0.3">
      <c r="B93" s="33">
        <v>45256</v>
      </c>
      <c r="C93" s="34">
        <v>3988.4</v>
      </c>
      <c r="D93" s="35"/>
      <c r="E93" s="33">
        <v>45256</v>
      </c>
      <c r="F93" s="34">
        <v>20267.900000000001</v>
      </c>
      <c r="G93" s="35"/>
      <c r="H93" s="35"/>
      <c r="I93" s="35"/>
      <c r="J93" s="36"/>
      <c r="K93" s="37"/>
    </row>
    <row r="94" spans="2:11" ht="16.8" x14ac:dyDescent="0.3">
      <c r="B94" s="33">
        <v>45249</v>
      </c>
      <c r="C94" s="34">
        <v>3842.9</v>
      </c>
      <c r="D94" s="35"/>
      <c r="E94" s="33">
        <v>45249</v>
      </c>
      <c r="F94" s="34">
        <v>19794.7</v>
      </c>
      <c r="G94" s="35"/>
      <c r="H94" s="35"/>
      <c r="I94" s="35"/>
      <c r="J94" s="36"/>
      <c r="K94" s="37"/>
    </row>
    <row r="95" spans="2:11" ht="16.8" x14ac:dyDescent="0.3">
      <c r="B95" s="33">
        <v>45242</v>
      </c>
      <c r="C95" s="34">
        <v>3810.9</v>
      </c>
      <c r="D95" s="35"/>
      <c r="E95" s="33">
        <v>45242</v>
      </c>
      <c r="F95" s="34">
        <v>19731.8</v>
      </c>
      <c r="G95" s="35"/>
      <c r="H95" s="35"/>
      <c r="I95" s="35"/>
      <c r="J95" s="36"/>
      <c r="K95" s="37"/>
    </row>
    <row r="96" spans="2:11" ht="16.8" x14ac:dyDescent="0.3">
      <c r="B96" s="33">
        <v>45235</v>
      </c>
      <c r="C96" s="34">
        <v>3798.4</v>
      </c>
      <c r="D96" s="35"/>
      <c r="E96" s="33">
        <v>45235</v>
      </c>
      <c r="F96" s="34">
        <v>19425.349999999999</v>
      </c>
      <c r="G96" s="35"/>
      <c r="H96" s="35"/>
      <c r="I96" s="35"/>
      <c r="J96" s="36"/>
      <c r="K96" s="37"/>
    </row>
    <row r="97" spans="2:11" ht="16.8" x14ac:dyDescent="0.3">
      <c r="B97" s="33">
        <v>45228</v>
      </c>
      <c r="C97" s="38">
        <v>3649.7</v>
      </c>
      <c r="D97" s="35"/>
      <c r="E97" s="33">
        <v>45228</v>
      </c>
      <c r="F97" s="34">
        <v>19230.599999999999</v>
      </c>
      <c r="G97" s="35"/>
      <c r="H97" s="35"/>
      <c r="I97" s="35"/>
      <c r="J97" s="36"/>
      <c r="K97" s="37"/>
    </row>
    <row r="98" spans="2:11" ht="16.8" x14ac:dyDescent="0.3">
      <c r="B98" s="33">
        <v>45221</v>
      </c>
      <c r="C98" s="38">
        <v>3665.45</v>
      </c>
      <c r="D98" s="35"/>
      <c r="E98" s="33">
        <v>45221</v>
      </c>
      <c r="F98" s="38">
        <v>19047.25</v>
      </c>
      <c r="G98" s="35"/>
      <c r="H98" s="35"/>
      <c r="I98" s="35"/>
      <c r="J98" s="36"/>
      <c r="K98" s="39"/>
    </row>
    <row r="99" spans="2:11" ht="16.8" x14ac:dyDescent="0.3">
      <c r="B99" s="33">
        <v>45214</v>
      </c>
      <c r="C99" s="38">
        <v>3749.5</v>
      </c>
      <c r="D99" s="35"/>
      <c r="E99" s="33">
        <v>45214</v>
      </c>
      <c r="F99" s="38">
        <v>19542.650000000001</v>
      </c>
      <c r="G99" s="35"/>
      <c r="H99" s="35"/>
      <c r="I99" s="35"/>
      <c r="J99" s="36"/>
      <c r="K99" s="39"/>
    </row>
    <row r="100" spans="2:11" ht="16.8" x14ac:dyDescent="0.3">
      <c r="B100" s="33">
        <v>45207</v>
      </c>
      <c r="C100" s="34">
        <v>3935.85</v>
      </c>
      <c r="D100" s="35"/>
      <c r="E100" s="33">
        <v>45207</v>
      </c>
      <c r="F100" s="34">
        <v>19751.05</v>
      </c>
      <c r="G100" s="35"/>
      <c r="H100" s="35"/>
      <c r="I100" s="35"/>
      <c r="J100" s="36"/>
      <c r="K100" s="37"/>
    </row>
    <row r="101" spans="2:11" ht="16.8" x14ac:dyDescent="0.3">
      <c r="B101" s="33">
        <v>45200</v>
      </c>
      <c r="C101" s="34">
        <v>3833.95</v>
      </c>
      <c r="D101" s="35"/>
      <c r="E101" s="33">
        <v>45200</v>
      </c>
      <c r="F101" s="34">
        <v>19653.5</v>
      </c>
      <c r="G101" s="35"/>
      <c r="H101" s="35"/>
      <c r="I101" s="35"/>
      <c r="J101" s="36"/>
      <c r="K101" s="37"/>
    </row>
    <row r="102" spans="2:11" ht="16.8" x14ac:dyDescent="0.3">
      <c r="B102" s="33">
        <v>45193</v>
      </c>
      <c r="C102" s="38">
        <v>3675.6</v>
      </c>
      <c r="D102" s="35"/>
      <c r="E102" s="33">
        <v>45193</v>
      </c>
      <c r="F102" s="38">
        <v>19638.3</v>
      </c>
      <c r="G102" s="35"/>
      <c r="H102" s="35"/>
      <c r="I102" s="35"/>
      <c r="J102" s="36"/>
      <c r="K102" s="39"/>
    </row>
    <row r="103" spans="2:11" ht="16.8" x14ac:dyDescent="0.3">
      <c r="B103" s="33">
        <v>45186</v>
      </c>
      <c r="C103" s="38">
        <v>3689.1</v>
      </c>
      <c r="D103" s="35"/>
      <c r="E103" s="33">
        <v>45186</v>
      </c>
      <c r="F103" s="38">
        <v>19674.25</v>
      </c>
      <c r="G103" s="35"/>
      <c r="H103" s="35"/>
      <c r="I103" s="35"/>
      <c r="J103" s="36"/>
      <c r="K103" s="39"/>
    </row>
    <row r="104" spans="2:11" ht="16.8" x14ac:dyDescent="0.3">
      <c r="B104" s="33">
        <v>45179</v>
      </c>
      <c r="C104" s="34">
        <v>3796</v>
      </c>
      <c r="D104" s="35"/>
      <c r="E104" s="33">
        <v>45179</v>
      </c>
      <c r="F104" s="34">
        <v>20192.349999999999</v>
      </c>
      <c r="G104" s="35"/>
      <c r="H104" s="35"/>
      <c r="I104" s="35"/>
      <c r="J104" s="36"/>
      <c r="K104" s="37"/>
    </row>
    <row r="105" spans="2:11" ht="16.8" x14ac:dyDescent="0.3">
      <c r="B105" s="33">
        <v>45172</v>
      </c>
      <c r="C105" s="34">
        <v>3782.4</v>
      </c>
      <c r="D105" s="35"/>
      <c r="E105" s="33">
        <v>45172</v>
      </c>
      <c r="F105" s="34">
        <v>19819.95</v>
      </c>
      <c r="G105" s="35"/>
      <c r="H105" s="35"/>
      <c r="I105" s="35"/>
      <c r="J105" s="36"/>
      <c r="K105" s="37"/>
    </row>
    <row r="106" spans="2:11" ht="16.8" x14ac:dyDescent="0.3">
      <c r="B106" s="40">
        <v>45165</v>
      </c>
      <c r="C106" s="41">
        <v>3761.05</v>
      </c>
      <c r="D106" s="42"/>
      <c r="E106" s="40">
        <v>45165</v>
      </c>
      <c r="F106" s="41">
        <v>19435.3</v>
      </c>
      <c r="G106" s="42"/>
      <c r="H106" s="42"/>
      <c r="I106" s="42"/>
      <c r="J106" s="43"/>
      <c r="K106" s="44"/>
    </row>
  </sheetData>
  <hyperlinks>
    <hyperlink ref="I3" r:id="rId1" display="https://www.screener.in/company/DMART/consolidated/" xr:uid="{C4BC8118-FBC5-4D79-9C4C-A41B353C5AF8}"/>
    <hyperlink ref="I4" r:id="rId2" display="https://www.screener.in/company/VMM/consolidated/" xr:uid="{4402FC41-1200-4B6C-88E7-902C218EADEC}"/>
    <hyperlink ref="I5" r:id="rId3" display="https://www.screener.in/company/SHOPERSTOP/consolidated/" xr:uid="{2EFBB819-B578-4BFC-8119-3B6A566540E5}"/>
    <hyperlink ref="I6" r:id="rId4" display="https://www.screener.in/company/VMART/" xr:uid="{EF60CCEF-CB6B-475A-A7E8-CD9BE98C54EA}"/>
    <hyperlink ref="I7" r:id="rId5" display="https://www.screener.in/company/EMIL/consolidated/" xr:uid="{BCD43B62-145F-4652-ABF6-14D2E249BD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DCF &gt;</vt:lpstr>
      <vt:lpstr>WACC</vt:lpstr>
      <vt:lpstr>Beta regression</vt:lpstr>
      <vt:lpstr>Beta - Comps</vt:lpstr>
      <vt:lpstr>Intrinsic Growth</vt:lpstr>
      <vt:lpstr>Data Room&gt;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cp:lastPrinted>2025-08-22T08:40:50Z</cp:lastPrinted>
  <dcterms:created xsi:type="dcterms:W3CDTF">2015-06-05T18:17:20Z</dcterms:created>
  <dcterms:modified xsi:type="dcterms:W3CDTF">2025-08-24T19:18:22Z</dcterms:modified>
</cp:coreProperties>
</file>