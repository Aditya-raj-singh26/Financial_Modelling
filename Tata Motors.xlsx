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4E2169CA-4688-4519-8F1E-DCD2ADCBE27D}" xr6:coauthVersionLast="47" xr6:coauthVersionMax="47" xr10:uidLastSave="{00000000-0000-0000-0000-000000000000}"/>
  <bookViews>
    <workbookView xWindow="-96" yWindow="0" windowWidth="14016" windowHeight="12336" tabRatio="742" firstSheet="1" activeTab="1" xr2:uid="{00000000-000D-0000-FFFF-FFFF00000000}"/>
  </bookViews>
  <sheets>
    <sheet name="Financials" sheetId="8" r:id="rId1"/>
    <sheet name="Altman's Z Score" sheetId="17" r:id="rId2"/>
    <sheet name="Dupont Analysis" sheetId="16" r:id="rId3"/>
    <sheet name="Historical FS" sheetId="7" r:id="rId4"/>
    <sheet name="Ratio analysis" sheetId="10" r:id="rId5"/>
    <sheet name="Forecasting" sheetId="11" r:id="rId6"/>
    <sheet name="Common Size Statement" sheetId="12" r:id="rId7"/>
    <sheet name="Intrinsic Growth" sheetId="14" r:id="rId8"/>
    <sheet name="Raw FS" sheetId="15" r:id="rId9"/>
    <sheet name="Data &gt;" sheetId="5" r:id="rId10"/>
    <sheet name="Data Sheet" sheetId="6" r:id="rId11"/>
    <sheet name="Data Room &gt;" sheetId="13" r:id="rId12"/>
    <sheet name="Cashflow Data" sheetId="9" r:id="rId13"/>
  </sheets>
  <externalReferences>
    <externalReference r:id="rId14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6" i="17" l="1"/>
  <c r="B80" i="17"/>
  <c r="B75" i="17"/>
  <c r="B70" i="17"/>
  <c r="E85" i="17"/>
  <c r="F85" i="17"/>
  <c r="G85" i="17"/>
  <c r="H85" i="17"/>
  <c r="I85" i="17"/>
  <c r="J85" i="17"/>
  <c r="D85" i="17"/>
  <c r="E84" i="17"/>
  <c r="F84" i="17"/>
  <c r="G84" i="17"/>
  <c r="H84" i="17"/>
  <c r="I84" i="17"/>
  <c r="J84" i="17"/>
  <c r="D84" i="17"/>
  <c r="E79" i="17"/>
  <c r="F79" i="17"/>
  <c r="G79" i="17"/>
  <c r="H79" i="17"/>
  <c r="I79" i="17"/>
  <c r="J79" i="17"/>
  <c r="D79" i="17"/>
  <c r="E78" i="17"/>
  <c r="E80" i="17" s="1"/>
  <c r="F78" i="17"/>
  <c r="G78" i="17"/>
  <c r="H78" i="17"/>
  <c r="I78" i="17"/>
  <c r="J78" i="17"/>
  <c r="D78" i="17"/>
  <c r="E73" i="17"/>
  <c r="F73" i="17"/>
  <c r="G73" i="17"/>
  <c r="H73" i="17"/>
  <c r="I73" i="17"/>
  <c r="J73" i="17"/>
  <c r="D73" i="17"/>
  <c r="D68" i="17"/>
  <c r="E68" i="17"/>
  <c r="F68" i="17"/>
  <c r="G68" i="17"/>
  <c r="H68" i="17"/>
  <c r="I68" i="17"/>
  <c r="J68" i="17"/>
  <c r="E63" i="17"/>
  <c r="E69" i="17" s="1"/>
  <c r="F63" i="17"/>
  <c r="F69" i="17" s="1"/>
  <c r="G63" i="17"/>
  <c r="G69" i="17" s="1"/>
  <c r="H63" i="17"/>
  <c r="H69" i="17" s="1"/>
  <c r="I63" i="17"/>
  <c r="I69" i="17" s="1"/>
  <c r="J63" i="17"/>
  <c r="J69" i="17" s="1"/>
  <c r="D63" i="17"/>
  <c r="D69" i="17" s="1"/>
  <c r="E62" i="17"/>
  <c r="F62" i="17"/>
  <c r="G62" i="17"/>
  <c r="H62" i="17"/>
  <c r="I62" i="17"/>
  <c r="J62" i="17"/>
  <c r="D62" i="17"/>
  <c r="B90" i="16"/>
  <c r="E69" i="16"/>
  <c r="E91" i="16" s="1"/>
  <c r="F69" i="16"/>
  <c r="F91" i="16" s="1"/>
  <c r="G69" i="16"/>
  <c r="G91" i="16" s="1"/>
  <c r="H69" i="16"/>
  <c r="H91" i="16" s="1"/>
  <c r="I69" i="16"/>
  <c r="I91" i="16" s="1"/>
  <c r="J69" i="16"/>
  <c r="J91" i="16" s="1"/>
  <c r="D69" i="16"/>
  <c r="D91" i="16" s="1"/>
  <c r="D77" i="16"/>
  <c r="E77" i="16"/>
  <c r="F77" i="16"/>
  <c r="G77" i="16"/>
  <c r="H77" i="16"/>
  <c r="I77" i="16"/>
  <c r="J77" i="16"/>
  <c r="D76" i="16"/>
  <c r="E76" i="16"/>
  <c r="F76" i="16"/>
  <c r="G76" i="16"/>
  <c r="H76" i="16"/>
  <c r="I76" i="16"/>
  <c r="J76" i="16"/>
  <c r="D73" i="16"/>
  <c r="D95" i="16" s="1"/>
  <c r="E73" i="16"/>
  <c r="E95" i="16" s="1"/>
  <c r="F73" i="16"/>
  <c r="F85" i="16" s="1"/>
  <c r="G73" i="16"/>
  <c r="G85" i="16" s="1"/>
  <c r="H73" i="16"/>
  <c r="H85" i="16" s="1"/>
  <c r="I73" i="16"/>
  <c r="I85" i="16" s="1"/>
  <c r="J73" i="16"/>
  <c r="J95" i="16" s="1"/>
  <c r="E72" i="16"/>
  <c r="F72" i="16"/>
  <c r="G72" i="16"/>
  <c r="H72" i="16"/>
  <c r="I72" i="16"/>
  <c r="J72" i="16"/>
  <c r="J94" i="16" s="1"/>
  <c r="D72" i="16"/>
  <c r="D94" i="16" s="1"/>
  <c r="B68" i="16"/>
  <c r="D63" i="16"/>
  <c r="E63" i="16"/>
  <c r="F63" i="16"/>
  <c r="G63" i="16"/>
  <c r="H63" i="16"/>
  <c r="I63" i="16"/>
  <c r="J63" i="16"/>
  <c r="E62" i="16"/>
  <c r="E84" i="16" s="1"/>
  <c r="F62" i="16"/>
  <c r="F84" i="16" s="1"/>
  <c r="G62" i="16"/>
  <c r="G84" i="16" s="1"/>
  <c r="H62" i="16"/>
  <c r="H68" i="16" s="1"/>
  <c r="I62" i="16"/>
  <c r="I68" i="16" s="1"/>
  <c r="J62" i="16"/>
  <c r="J68" i="16" s="1"/>
  <c r="D62" i="16"/>
  <c r="D68" i="16" s="1"/>
  <c r="F41" i="14"/>
  <c r="G41" i="14"/>
  <c r="H41" i="14"/>
  <c r="I41" i="14"/>
  <c r="E41" i="14"/>
  <c r="F39" i="14"/>
  <c r="G39" i="14"/>
  <c r="H39" i="14"/>
  <c r="I39" i="14"/>
  <c r="E39" i="14"/>
  <c r="F35" i="14"/>
  <c r="F44" i="14" s="1"/>
  <c r="F46" i="14" s="1"/>
  <c r="G35" i="14"/>
  <c r="G44" i="14" s="1"/>
  <c r="G46" i="14" s="1"/>
  <c r="H35" i="14"/>
  <c r="H44" i="14" s="1"/>
  <c r="H46" i="14" s="1"/>
  <c r="I35" i="14"/>
  <c r="I44" i="14" s="1"/>
  <c r="I46" i="14" s="1"/>
  <c r="E35" i="14"/>
  <c r="E44" i="14" s="1"/>
  <c r="E46" i="14" s="1"/>
  <c r="I31" i="14"/>
  <c r="H31" i="14"/>
  <c r="G31" i="14"/>
  <c r="F31" i="14"/>
  <c r="E31" i="14"/>
  <c r="I29" i="14"/>
  <c r="H29" i="14"/>
  <c r="G29" i="14"/>
  <c r="F29" i="14"/>
  <c r="E29" i="14"/>
  <c r="B29" i="14"/>
  <c r="I28" i="14"/>
  <c r="H28" i="14"/>
  <c r="G28" i="14"/>
  <c r="F28" i="14"/>
  <c r="E28" i="14"/>
  <c r="B28" i="14"/>
  <c r="I27" i="14"/>
  <c r="H27" i="14"/>
  <c r="G27" i="14"/>
  <c r="F27" i="14"/>
  <c r="E27" i="14"/>
  <c r="B27" i="14"/>
  <c r="I26" i="14"/>
  <c r="H26" i="14"/>
  <c r="G26" i="14"/>
  <c r="F26" i="14"/>
  <c r="E26" i="14"/>
  <c r="B26" i="14"/>
  <c r="I25" i="14"/>
  <c r="H25" i="14"/>
  <c r="G25" i="14"/>
  <c r="F25" i="14"/>
  <c r="E25" i="14"/>
  <c r="B25" i="14"/>
  <c r="I24" i="14"/>
  <c r="H24" i="14"/>
  <c r="G24" i="14"/>
  <c r="F24" i="14"/>
  <c r="E24" i="14"/>
  <c r="B24" i="14"/>
  <c r="I23" i="14"/>
  <c r="H23" i="14"/>
  <c r="G23" i="14"/>
  <c r="F23" i="14"/>
  <c r="F30" i="14" s="1"/>
  <c r="F32" i="14" s="1"/>
  <c r="E23" i="14"/>
  <c r="B23" i="14"/>
  <c r="I22" i="14"/>
  <c r="H22" i="14"/>
  <c r="G22" i="14"/>
  <c r="F22" i="14"/>
  <c r="E22" i="14"/>
  <c r="E30" i="14" s="1"/>
  <c r="B22" i="14"/>
  <c r="I16" i="14"/>
  <c r="H16" i="14"/>
  <c r="G16" i="14"/>
  <c r="F16" i="14"/>
  <c r="E16" i="14"/>
  <c r="B16" i="14"/>
  <c r="I15" i="14"/>
  <c r="H15" i="14"/>
  <c r="G15" i="14"/>
  <c r="F15" i="14"/>
  <c r="E15" i="14"/>
  <c r="B15" i="14"/>
  <c r="I14" i="14"/>
  <c r="H14" i="14"/>
  <c r="G14" i="14"/>
  <c r="G17" i="14" s="1"/>
  <c r="F14" i="14"/>
  <c r="E14" i="14"/>
  <c r="B14" i="14"/>
  <c r="I9" i="14"/>
  <c r="H9" i="14"/>
  <c r="G9" i="14"/>
  <c r="F9" i="14"/>
  <c r="E9" i="14"/>
  <c r="B9" i="14"/>
  <c r="I8" i="14"/>
  <c r="H8" i="14"/>
  <c r="G8" i="14"/>
  <c r="F8" i="14"/>
  <c r="E8" i="14"/>
  <c r="B8" i="14"/>
  <c r="I7" i="14"/>
  <c r="H7" i="14"/>
  <c r="G7" i="14"/>
  <c r="F7" i="14"/>
  <c r="E7" i="14"/>
  <c r="B7" i="14"/>
  <c r="I6" i="14"/>
  <c r="H6" i="14"/>
  <c r="G6" i="14"/>
  <c r="F6" i="14"/>
  <c r="E6" i="14"/>
  <c r="B6" i="14"/>
  <c r="I5" i="14"/>
  <c r="H5" i="14"/>
  <c r="G5" i="14"/>
  <c r="F5" i="14"/>
  <c r="E5" i="14"/>
  <c r="E10" i="14" s="1"/>
  <c r="B5" i="14"/>
  <c r="I2" i="14"/>
  <c r="H2" i="14"/>
  <c r="G2" i="14"/>
  <c r="F2" i="14"/>
  <c r="E2" i="14"/>
  <c r="M26" i="13"/>
  <c r="L26" i="13"/>
  <c r="K26" i="13"/>
  <c r="J26" i="13"/>
  <c r="I26" i="13"/>
  <c r="H26" i="13"/>
  <c r="G26" i="13"/>
  <c r="F26" i="13"/>
  <c r="E26" i="13"/>
  <c r="D26" i="13"/>
  <c r="C26" i="13"/>
  <c r="B26" i="13"/>
  <c r="C34" i="12"/>
  <c r="D34" i="12"/>
  <c r="E34" i="12"/>
  <c r="F34" i="12"/>
  <c r="G34" i="12"/>
  <c r="H34" i="12"/>
  <c r="I34" i="12"/>
  <c r="J34" i="12"/>
  <c r="K34" i="12"/>
  <c r="L34" i="12"/>
  <c r="C35" i="12"/>
  <c r="D35" i="12"/>
  <c r="E35" i="12"/>
  <c r="F35" i="12"/>
  <c r="G35" i="12"/>
  <c r="H35" i="12"/>
  <c r="I35" i="12"/>
  <c r="J35" i="12"/>
  <c r="K35" i="12"/>
  <c r="L35" i="12"/>
  <c r="D33" i="12"/>
  <c r="E33" i="12"/>
  <c r="F33" i="12"/>
  <c r="G33" i="12"/>
  <c r="H33" i="12"/>
  <c r="I33" i="12"/>
  <c r="J33" i="12"/>
  <c r="K33" i="12"/>
  <c r="L33" i="12"/>
  <c r="C33" i="12"/>
  <c r="D39" i="12"/>
  <c r="E39" i="12"/>
  <c r="F39" i="12"/>
  <c r="G39" i="12"/>
  <c r="H39" i="12"/>
  <c r="I39" i="12"/>
  <c r="J39" i="12"/>
  <c r="K39" i="12"/>
  <c r="L39" i="12"/>
  <c r="C39" i="12"/>
  <c r="C37" i="12"/>
  <c r="D37" i="12"/>
  <c r="E37" i="12"/>
  <c r="F37" i="12"/>
  <c r="G37" i="12"/>
  <c r="H37" i="12"/>
  <c r="I37" i="12"/>
  <c r="J37" i="12"/>
  <c r="K37" i="12"/>
  <c r="L37" i="12"/>
  <c r="C38" i="12"/>
  <c r="D38" i="12"/>
  <c r="E38" i="12"/>
  <c r="F38" i="12"/>
  <c r="G38" i="12"/>
  <c r="H38" i="12"/>
  <c r="I38" i="12"/>
  <c r="J38" i="12"/>
  <c r="K38" i="12"/>
  <c r="L38" i="12"/>
  <c r="D36" i="12"/>
  <c r="E36" i="12"/>
  <c r="F36" i="12"/>
  <c r="G36" i="12"/>
  <c r="H36" i="12"/>
  <c r="I36" i="12"/>
  <c r="J36" i="12"/>
  <c r="K36" i="12"/>
  <c r="L36" i="12"/>
  <c r="C36" i="12"/>
  <c r="D32" i="12"/>
  <c r="E32" i="12"/>
  <c r="F32" i="12"/>
  <c r="G32" i="12"/>
  <c r="H32" i="12"/>
  <c r="I32" i="12"/>
  <c r="J32" i="12"/>
  <c r="K32" i="12"/>
  <c r="L32" i="12"/>
  <c r="C32" i="12"/>
  <c r="C74" i="6"/>
  <c r="D74" i="6"/>
  <c r="E74" i="6"/>
  <c r="F74" i="6"/>
  <c r="G74" i="6"/>
  <c r="H74" i="6"/>
  <c r="I74" i="6"/>
  <c r="J74" i="6"/>
  <c r="K74" i="6"/>
  <c r="B74" i="6"/>
  <c r="C27" i="12"/>
  <c r="D27" i="12"/>
  <c r="E27" i="12"/>
  <c r="F27" i="12"/>
  <c r="G27" i="12"/>
  <c r="H27" i="12"/>
  <c r="I27" i="12"/>
  <c r="J27" i="12"/>
  <c r="K27" i="12"/>
  <c r="L27" i="12"/>
  <c r="C28" i="12"/>
  <c r="D28" i="12"/>
  <c r="E28" i="12"/>
  <c r="F28" i="12"/>
  <c r="G28" i="12"/>
  <c r="H28" i="12"/>
  <c r="I28" i="12"/>
  <c r="J28" i="12"/>
  <c r="K28" i="12"/>
  <c r="L28" i="12"/>
  <c r="C29" i="12"/>
  <c r="D29" i="12"/>
  <c r="E29" i="12"/>
  <c r="F29" i="12"/>
  <c r="G29" i="12"/>
  <c r="H29" i="12"/>
  <c r="I29" i="12"/>
  <c r="J29" i="12"/>
  <c r="K29" i="12"/>
  <c r="L29" i="12"/>
  <c r="C30" i="12"/>
  <c r="D30" i="12"/>
  <c r="E30" i="12"/>
  <c r="F30" i="12"/>
  <c r="G30" i="12"/>
  <c r="H30" i="12"/>
  <c r="I30" i="12"/>
  <c r="J30" i="12"/>
  <c r="K30" i="12"/>
  <c r="L30" i="12"/>
  <c r="B28" i="12"/>
  <c r="B29" i="12"/>
  <c r="B30" i="12"/>
  <c r="B27" i="12"/>
  <c r="C26" i="12"/>
  <c r="D26" i="12"/>
  <c r="E26" i="12"/>
  <c r="F26" i="12"/>
  <c r="G26" i="12"/>
  <c r="H26" i="12"/>
  <c r="I26" i="12"/>
  <c r="J26" i="12"/>
  <c r="K26" i="12"/>
  <c r="L26" i="12"/>
  <c r="D24" i="12"/>
  <c r="E24" i="12"/>
  <c r="F24" i="12"/>
  <c r="G24" i="12"/>
  <c r="H24" i="12"/>
  <c r="I24" i="12"/>
  <c r="J24" i="12"/>
  <c r="K24" i="12"/>
  <c r="L24" i="12"/>
  <c r="C24" i="12"/>
  <c r="B22" i="12"/>
  <c r="D20" i="12"/>
  <c r="E20" i="12"/>
  <c r="F20" i="12"/>
  <c r="G20" i="12"/>
  <c r="H20" i="12"/>
  <c r="I20" i="12"/>
  <c r="J20" i="12"/>
  <c r="K20" i="12"/>
  <c r="L20" i="12"/>
  <c r="C20" i="12"/>
  <c r="C5" i="12"/>
  <c r="C6" i="12"/>
  <c r="D6" i="12"/>
  <c r="E6" i="12"/>
  <c r="F6" i="12"/>
  <c r="G6" i="12"/>
  <c r="H6" i="12"/>
  <c r="I6" i="12"/>
  <c r="J6" i="12"/>
  <c r="K6" i="12"/>
  <c r="L6" i="12"/>
  <c r="C7" i="12"/>
  <c r="D7" i="12"/>
  <c r="E7" i="12"/>
  <c r="F7" i="12"/>
  <c r="G7" i="12"/>
  <c r="H7" i="12"/>
  <c r="I7" i="12"/>
  <c r="J7" i="12"/>
  <c r="K7" i="12"/>
  <c r="L7" i="12"/>
  <c r="C8" i="12"/>
  <c r="D8" i="12"/>
  <c r="E8" i="12"/>
  <c r="F8" i="12"/>
  <c r="G8" i="12"/>
  <c r="H8" i="12"/>
  <c r="I8" i="12"/>
  <c r="J8" i="12"/>
  <c r="K8" i="12"/>
  <c r="L8" i="12"/>
  <c r="C9" i="12"/>
  <c r="D9" i="12"/>
  <c r="E9" i="12"/>
  <c r="F9" i="12"/>
  <c r="G9" i="12"/>
  <c r="H9" i="12"/>
  <c r="I9" i="12"/>
  <c r="J9" i="12"/>
  <c r="K9" i="12"/>
  <c r="L9" i="12"/>
  <c r="C10" i="12"/>
  <c r="D10" i="12"/>
  <c r="E10" i="12"/>
  <c r="F10" i="12"/>
  <c r="G10" i="12"/>
  <c r="H10" i="12"/>
  <c r="I10" i="12"/>
  <c r="J10" i="12"/>
  <c r="K10" i="12"/>
  <c r="L10" i="12"/>
  <c r="C11" i="12"/>
  <c r="D11" i="12"/>
  <c r="E11" i="12"/>
  <c r="F11" i="12"/>
  <c r="G11" i="12"/>
  <c r="H11" i="12"/>
  <c r="I11" i="12"/>
  <c r="J11" i="12"/>
  <c r="K11" i="12"/>
  <c r="L11" i="12"/>
  <c r="C12" i="12"/>
  <c r="D12" i="12"/>
  <c r="E12" i="12"/>
  <c r="F12" i="12"/>
  <c r="G12" i="12"/>
  <c r="H12" i="12"/>
  <c r="I12" i="12"/>
  <c r="J12" i="12"/>
  <c r="K12" i="12"/>
  <c r="L12" i="12"/>
  <c r="C13" i="12"/>
  <c r="D13" i="12"/>
  <c r="E13" i="12"/>
  <c r="F13" i="12"/>
  <c r="G13" i="12"/>
  <c r="H13" i="12"/>
  <c r="I13" i="12"/>
  <c r="J13" i="12"/>
  <c r="K13" i="12"/>
  <c r="L13" i="12"/>
  <c r="C14" i="12"/>
  <c r="D14" i="12"/>
  <c r="E14" i="12"/>
  <c r="F14" i="12"/>
  <c r="G14" i="12"/>
  <c r="H14" i="12"/>
  <c r="I14" i="12"/>
  <c r="J14" i="12"/>
  <c r="K14" i="12"/>
  <c r="L14" i="12"/>
  <c r="C15" i="12"/>
  <c r="D15" i="12"/>
  <c r="E15" i="12"/>
  <c r="F15" i="12"/>
  <c r="G15" i="12"/>
  <c r="H15" i="12"/>
  <c r="I15" i="12"/>
  <c r="J15" i="12"/>
  <c r="K15" i="12"/>
  <c r="L15" i="12"/>
  <c r="C16" i="12"/>
  <c r="D16" i="12"/>
  <c r="E16" i="12"/>
  <c r="F16" i="12"/>
  <c r="G16" i="12"/>
  <c r="H16" i="12"/>
  <c r="I16" i="12"/>
  <c r="J16" i="12"/>
  <c r="K16" i="12"/>
  <c r="L16" i="12"/>
  <c r="C17" i="12"/>
  <c r="D17" i="12"/>
  <c r="E17" i="12"/>
  <c r="F17" i="12"/>
  <c r="G17" i="12"/>
  <c r="H17" i="12"/>
  <c r="I17" i="12"/>
  <c r="J17" i="12"/>
  <c r="K17" i="12"/>
  <c r="L17" i="12"/>
  <c r="C18" i="12"/>
  <c r="D18" i="12"/>
  <c r="E18" i="12"/>
  <c r="F18" i="12"/>
  <c r="G18" i="12"/>
  <c r="H18" i="12"/>
  <c r="I18" i="12"/>
  <c r="J18" i="12"/>
  <c r="K18" i="12"/>
  <c r="L18" i="12"/>
  <c r="C19" i="12"/>
  <c r="D19" i="12"/>
  <c r="E19" i="12"/>
  <c r="F19" i="12"/>
  <c r="G19" i="12"/>
  <c r="H19" i="12"/>
  <c r="I19" i="12"/>
  <c r="J19" i="12"/>
  <c r="K19" i="12"/>
  <c r="L19" i="12"/>
  <c r="D5" i="12"/>
  <c r="E5" i="12"/>
  <c r="F5" i="12"/>
  <c r="G5" i="12"/>
  <c r="H5" i="12"/>
  <c r="I5" i="12"/>
  <c r="J5" i="12"/>
  <c r="K5" i="12"/>
  <c r="L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5" i="12"/>
  <c r="L4" i="12"/>
  <c r="D4" i="12"/>
  <c r="E4" i="12"/>
  <c r="F4" i="12"/>
  <c r="G4" i="12"/>
  <c r="H4" i="12"/>
  <c r="I4" i="12"/>
  <c r="J4" i="12"/>
  <c r="K4" i="12"/>
  <c r="C4" i="12"/>
  <c r="B2" i="12"/>
  <c r="I6" i="1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5" i="11"/>
  <c r="I4" i="1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D15" i="11"/>
  <c r="D16" i="11"/>
  <c r="E16" i="11" s="1"/>
  <c r="D17" i="11"/>
  <c r="E17" i="11" s="1"/>
  <c r="D18" i="11"/>
  <c r="E18" i="11" s="1"/>
  <c r="D14" i="11"/>
  <c r="E14" i="11" s="1"/>
  <c r="E6" i="11"/>
  <c r="E7" i="11"/>
  <c r="E8" i="11"/>
  <c r="E9" i="11"/>
  <c r="E10" i="11"/>
  <c r="E11" i="11"/>
  <c r="E12" i="11"/>
  <c r="E13" i="11"/>
  <c r="E5" i="11"/>
  <c r="D4" i="11" a="1"/>
  <c r="D4" i="11" s="1"/>
  <c r="H2" i="11"/>
  <c r="B2" i="1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5" i="11"/>
  <c r="C4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J80" i="17" l="1"/>
  <c r="I80" i="17"/>
  <c r="G80" i="17"/>
  <c r="F80" i="17"/>
  <c r="D80" i="17"/>
  <c r="H80" i="17"/>
  <c r="I74" i="17"/>
  <c r="I75" i="17" s="1"/>
  <c r="H74" i="17"/>
  <c r="H86" i="17" s="1"/>
  <c r="G74" i="17"/>
  <c r="G86" i="17" s="1"/>
  <c r="F74" i="17"/>
  <c r="F75" i="17" s="1"/>
  <c r="E74" i="17"/>
  <c r="E75" i="17" s="1"/>
  <c r="D74" i="17"/>
  <c r="D75" i="17" s="1"/>
  <c r="J74" i="17"/>
  <c r="J86" i="17"/>
  <c r="J64" i="17"/>
  <c r="J70" i="17"/>
  <c r="E70" i="17"/>
  <c r="F70" i="17"/>
  <c r="H64" i="17"/>
  <c r="G70" i="17"/>
  <c r="D64" i="17"/>
  <c r="I64" i="17"/>
  <c r="H70" i="17"/>
  <c r="I70" i="17"/>
  <c r="G64" i="17"/>
  <c r="F86" i="17"/>
  <c r="I86" i="17"/>
  <c r="F64" i="17"/>
  <c r="D70" i="17"/>
  <c r="E64" i="17"/>
  <c r="D70" i="16"/>
  <c r="J70" i="16"/>
  <c r="I70" i="16"/>
  <c r="H70" i="16"/>
  <c r="H84" i="16"/>
  <c r="H90" i="16" s="1"/>
  <c r="H92" i="16" s="1"/>
  <c r="G78" i="16"/>
  <c r="I74" i="16"/>
  <c r="E85" i="16"/>
  <c r="E86" i="16" s="1"/>
  <c r="H74" i="16"/>
  <c r="G74" i="16"/>
  <c r="F74" i="16"/>
  <c r="E74" i="16"/>
  <c r="G68" i="16"/>
  <c r="G70" i="16" s="1"/>
  <c r="F68" i="16"/>
  <c r="F70" i="16" s="1"/>
  <c r="E68" i="16"/>
  <c r="E70" i="16" s="1"/>
  <c r="J74" i="16"/>
  <c r="H78" i="16"/>
  <c r="J84" i="16"/>
  <c r="J90" i="16" s="1"/>
  <c r="J92" i="16" s="1"/>
  <c r="D74" i="16"/>
  <c r="I84" i="16"/>
  <c r="I90" i="16" s="1"/>
  <c r="I92" i="16" s="1"/>
  <c r="E90" i="16"/>
  <c r="E92" i="16" s="1"/>
  <c r="J96" i="16"/>
  <c r="D96" i="16"/>
  <c r="F90" i="16"/>
  <c r="F92" i="16" s="1"/>
  <c r="F86" i="16"/>
  <c r="G90" i="16"/>
  <c r="G92" i="16" s="1"/>
  <c r="G86" i="16"/>
  <c r="H95" i="16"/>
  <c r="F95" i="16"/>
  <c r="G95" i="16"/>
  <c r="I95" i="16"/>
  <c r="I94" i="16"/>
  <c r="D85" i="16"/>
  <c r="H94" i="16"/>
  <c r="G64" i="16"/>
  <c r="J85" i="16"/>
  <c r="G94" i="16"/>
  <c r="F64" i="16"/>
  <c r="F94" i="16"/>
  <c r="E64" i="16"/>
  <c r="E94" i="16"/>
  <c r="E96" i="16" s="1"/>
  <c r="J78" i="16"/>
  <c r="D84" i="16"/>
  <c r="F78" i="16"/>
  <c r="E78" i="16"/>
  <c r="D78" i="16"/>
  <c r="I78" i="16"/>
  <c r="I80" i="16" s="1"/>
  <c r="D64" i="16"/>
  <c r="I64" i="16"/>
  <c r="H64" i="16"/>
  <c r="J64" i="16"/>
  <c r="H17" i="14"/>
  <c r="H30" i="14"/>
  <c r="H32" i="14" s="1"/>
  <c r="F17" i="14"/>
  <c r="G30" i="14"/>
  <c r="G32" i="14" s="1"/>
  <c r="E17" i="14"/>
  <c r="E19" i="14" s="1"/>
  <c r="I17" i="14"/>
  <c r="I30" i="14"/>
  <c r="I32" i="14" s="1"/>
  <c r="E32" i="14"/>
  <c r="G10" i="14"/>
  <c r="G19" i="14" s="1"/>
  <c r="I10" i="14"/>
  <c r="F10" i="14"/>
  <c r="H10" i="14"/>
  <c r="E15" i="11"/>
  <c r="I90" i="17" l="1"/>
  <c r="I91" i="17" s="1"/>
  <c r="F90" i="17"/>
  <c r="F91" i="17" s="1"/>
  <c r="H75" i="17"/>
  <c r="H90" i="17" s="1"/>
  <c r="H91" i="17" s="1"/>
  <c r="G75" i="17"/>
  <c r="G90" i="17" s="1"/>
  <c r="G91" i="17" s="1"/>
  <c r="J75" i="17"/>
  <c r="J90" i="17" s="1"/>
  <c r="J91" i="17" s="1"/>
  <c r="E86" i="17"/>
  <c r="E90" i="17" s="1"/>
  <c r="E91" i="17" s="1"/>
  <c r="D86" i="17"/>
  <c r="D90" i="17" s="1"/>
  <c r="D91" i="17" s="1"/>
  <c r="H86" i="16"/>
  <c r="G80" i="16"/>
  <c r="H80" i="16"/>
  <c r="E80" i="16"/>
  <c r="F80" i="16"/>
  <c r="J98" i="16"/>
  <c r="F96" i="16"/>
  <c r="F98" i="16" s="1"/>
  <c r="J86" i="16"/>
  <c r="D80" i="16"/>
  <c r="I96" i="16"/>
  <c r="I98" i="16" s="1"/>
  <c r="J80" i="16"/>
  <c r="G96" i="16"/>
  <c r="G98" i="16" s="1"/>
  <c r="H96" i="16"/>
  <c r="H98" i="16" s="1"/>
  <c r="I86" i="16"/>
  <c r="D90" i="16"/>
  <c r="D92" i="16" s="1"/>
  <c r="D98" i="16" s="1"/>
  <c r="D86" i="16"/>
  <c r="E98" i="16"/>
  <c r="H19" i="14"/>
  <c r="H34" i="14" s="1"/>
  <c r="H37" i="14" s="1"/>
  <c r="H56" i="14" s="1"/>
  <c r="F19" i="14"/>
  <c r="G42" i="14" s="1"/>
  <c r="G48" i="14" s="1"/>
  <c r="G49" i="14" s="1"/>
  <c r="G57" i="14" s="1"/>
  <c r="I19" i="14"/>
  <c r="I34" i="14" s="1"/>
  <c r="I37" i="14" s="1"/>
  <c r="I56" i="14" s="1"/>
  <c r="E34" i="14"/>
  <c r="E37" i="14" s="1"/>
  <c r="G34" i="14"/>
  <c r="G37" i="14" s="1"/>
  <c r="G56" i="14" s="1"/>
  <c r="H42" i="14"/>
  <c r="H48" i="14" s="1"/>
  <c r="H49" i="14" s="1"/>
  <c r="H57" i="14" s="1"/>
  <c r="D28" i="10"/>
  <c r="D35" i="10" s="1"/>
  <c r="E28" i="10"/>
  <c r="E35" i="10" s="1"/>
  <c r="F28" i="10"/>
  <c r="F35" i="10" s="1"/>
  <c r="G28" i="10"/>
  <c r="G35" i="10" s="1"/>
  <c r="H28" i="10"/>
  <c r="H35" i="10" s="1"/>
  <c r="I28" i="10"/>
  <c r="I35" i="10" s="1"/>
  <c r="J28" i="10"/>
  <c r="J35" i="10" s="1"/>
  <c r="K28" i="10"/>
  <c r="K35" i="10" s="1"/>
  <c r="L28" i="10"/>
  <c r="L35" i="10" s="1"/>
  <c r="D29" i="10"/>
  <c r="D36" i="10" s="1"/>
  <c r="E29" i="10"/>
  <c r="E36" i="10" s="1"/>
  <c r="F29" i="10"/>
  <c r="F36" i="10" s="1"/>
  <c r="G29" i="10"/>
  <c r="G36" i="10" s="1"/>
  <c r="H29" i="10"/>
  <c r="H36" i="10" s="1"/>
  <c r="I29" i="10"/>
  <c r="I36" i="10" s="1"/>
  <c r="J29" i="10"/>
  <c r="J36" i="10" s="1"/>
  <c r="K29" i="10"/>
  <c r="K36" i="10" s="1"/>
  <c r="L29" i="10"/>
  <c r="L36" i="10" s="1"/>
  <c r="D30" i="10"/>
  <c r="D37" i="10" s="1"/>
  <c r="E30" i="10"/>
  <c r="E37" i="10" s="1"/>
  <c r="F30" i="10"/>
  <c r="F37" i="10" s="1"/>
  <c r="G30" i="10"/>
  <c r="G37" i="10" s="1"/>
  <c r="H30" i="10"/>
  <c r="H37" i="10" s="1"/>
  <c r="I30" i="10"/>
  <c r="I37" i="10" s="1"/>
  <c r="J30" i="10"/>
  <c r="J37" i="10" s="1"/>
  <c r="K30" i="10"/>
  <c r="K37" i="10" s="1"/>
  <c r="L30" i="10"/>
  <c r="L37" i="10" s="1"/>
  <c r="D31" i="10"/>
  <c r="E31" i="10"/>
  <c r="F31" i="10"/>
  <c r="G31" i="10"/>
  <c r="H31" i="10"/>
  <c r="I31" i="10"/>
  <c r="J31" i="10"/>
  <c r="K31" i="10"/>
  <c r="L31" i="10"/>
  <c r="D32" i="10"/>
  <c r="E32" i="10"/>
  <c r="F32" i="10"/>
  <c r="G32" i="10"/>
  <c r="H32" i="10"/>
  <c r="I32" i="10"/>
  <c r="J32" i="10"/>
  <c r="K32" i="10"/>
  <c r="L32" i="10"/>
  <c r="C32" i="10"/>
  <c r="C31" i="10"/>
  <c r="C30" i="10"/>
  <c r="C37" i="10" s="1"/>
  <c r="C29" i="10"/>
  <c r="C36" i="10" s="1"/>
  <c r="C28" i="10"/>
  <c r="C35" i="10" s="1"/>
  <c r="B2" i="10"/>
  <c r="L3" i="10"/>
  <c r="K3" i="10"/>
  <c r="J3" i="10"/>
  <c r="I3" i="10"/>
  <c r="H3" i="10"/>
  <c r="G3" i="10"/>
  <c r="F3" i="10"/>
  <c r="E3" i="10"/>
  <c r="D3" i="10"/>
  <c r="C3" i="10"/>
  <c r="D104" i="7"/>
  <c r="E104" i="7"/>
  <c r="F104" i="7"/>
  <c r="G104" i="7"/>
  <c r="H104" i="7"/>
  <c r="I104" i="7"/>
  <c r="J104" i="7"/>
  <c r="K104" i="7"/>
  <c r="L104" i="7"/>
  <c r="C104" i="7"/>
  <c r="C96" i="7"/>
  <c r="D96" i="7"/>
  <c r="E96" i="7"/>
  <c r="F96" i="7"/>
  <c r="G96" i="7"/>
  <c r="H96" i="7"/>
  <c r="I96" i="7"/>
  <c r="J96" i="7"/>
  <c r="K96" i="7"/>
  <c r="L96" i="7"/>
  <c r="C97" i="7"/>
  <c r="D97" i="7"/>
  <c r="E97" i="7"/>
  <c r="F97" i="7"/>
  <c r="G97" i="7"/>
  <c r="H97" i="7"/>
  <c r="I97" i="7"/>
  <c r="J97" i="7"/>
  <c r="K97" i="7"/>
  <c r="L97" i="7"/>
  <c r="C98" i="7"/>
  <c r="D98" i="7"/>
  <c r="E98" i="7"/>
  <c r="F98" i="7"/>
  <c r="G98" i="7"/>
  <c r="H98" i="7"/>
  <c r="I98" i="7"/>
  <c r="J98" i="7"/>
  <c r="K98" i="7"/>
  <c r="L98" i="7"/>
  <c r="C99" i="7"/>
  <c r="D99" i="7"/>
  <c r="E99" i="7"/>
  <c r="F99" i="7"/>
  <c r="G99" i="7"/>
  <c r="H99" i="7"/>
  <c r="I99" i="7"/>
  <c r="J99" i="7"/>
  <c r="K99" i="7"/>
  <c r="L99" i="7"/>
  <c r="C100" i="7"/>
  <c r="D100" i="7"/>
  <c r="E100" i="7"/>
  <c r="F100" i="7"/>
  <c r="G100" i="7"/>
  <c r="H100" i="7"/>
  <c r="I100" i="7"/>
  <c r="J100" i="7"/>
  <c r="K100" i="7"/>
  <c r="L100" i="7"/>
  <c r="C101" i="7"/>
  <c r="D101" i="7"/>
  <c r="E101" i="7"/>
  <c r="F101" i="7"/>
  <c r="G101" i="7"/>
  <c r="H101" i="7"/>
  <c r="I101" i="7"/>
  <c r="J101" i="7"/>
  <c r="K101" i="7"/>
  <c r="L101" i="7"/>
  <c r="C102" i="7"/>
  <c r="D102" i="7"/>
  <c r="E102" i="7"/>
  <c r="F102" i="7"/>
  <c r="G102" i="7"/>
  <c r="H102" i="7"/>
  <c r="I102" i="7"/>
  <c r="J102" i="7"/>
  <c r="K102" i="7"/>
  <c r="L102" i="7"/>
  <c r="D95" i="7"/>
  <c r="E95" i="7"/>
  <c r="F95" i="7"/>
  <c r="G95" i="7"/>
  <c r="H95" i="7"/>
  <c r="I95" i="7"/>
  <c r="J95" i="7"/>
  <c r="K95" i="7"/>
  <c r="L95" i="7"/>
  <c r="C95" i="7"/>
  <c r="C80" i="7"/>
  <c r="D80" i="7"/>
  <c r="E80" i="7"/>
  <c r="F80" i="7"/>
  <c r="G80" i="7"/>
  <c r="H80" i="7"/>
  <c r="I80" i="7"/>
  <c r="J80" i="7"/>
  <c r="K80" i="7"/>
  <c r="L80" i="7"/>
  <c r="C81" i="7"/>
  <c r="D81" i="7"/>
  <c r="E81" i="7"/>
  <c r="F81" i="7"/>
  <c r="G81" i="7"/>
  <c r="H81" i="7"/>
  <c r="I81" i="7"/>
  <c r="J81" i="7"/>
  <c r="K81" i="7"/>
  <c r="L81" i="7"/>
  <c r="C82" i="7"/>
  <c r="D82" i="7"/>
  <c r="E82" i="7"/>
  <c r="F82" i="7"/>
  <c r="G82" i="7"/>
  <c r="H82" i="7"/>
  <c r="I82" i="7"/>
  <c r="J82" i="7"/>
  <c r="K82" i="7"/>
  <c r="L82" i="7"/>
  <c r="C83" i="7"/>
  <c r="D83" i="7"/>
  <c r="E83" i="7"/>
  <c r="F83" i="7"/>
  <c r="G83" i="7"/>
  <c r="H83" i="7"/>
  <c r="I83" i="7"/>
  <c r="J83" i="7"/>
  <c r="K83" i="7"/>
  <c r="L83" i="7"/>
  <c r="C84" i="7"/>
  <c r="D84" i="7"/>
  <c r="E84" i="7"/>
  <c r="F84" i="7"/>
  <c r="G84" i="7"/>
  <c r="H84" i="7"/>
  <c r="I84" i="7"/>
  <c r="J84" i="7"/>
  <c r="K84" i="7"/>
  <c r="L84" i="7"/>
  <c r="C85" i="7"/>
  <c r="D85" i="7"/>
  <c r="E85" i="7"/>
  <c r="F85" i="7"/>
  <c r="G85" i="7"/>
  <c r="H85" i="7"/>
  <c r="I85" i="7"/>
  <c r="J85" i="7"/>
  <c r="K85" i="7"/>
  <c r="L85" i="7"/>
  <c r="C86" i="7"/>
  <c r="D86" i="7"/>
  <c r="E86" i="7"/>
  <c r="F86" i="7"/>
  <c r="G86" i="7"/>
  <c r="H86" i="7"/>
  <c r="I86" i="7"/>
  <c r="J86" i="7"/>
  <c r="K86" i="7"/>
  <c r="L86" i="7"/>
  <c r="C87" i="7"/>
  <c r="D87" i="7"/>
  <c r="E87" i="7"/>
  <c r="F87" i="7"/>
  <c r="G87" i="7"/>
  <c r="H87" i="7"/>
  <c r="I87" i="7"/>
  <c r="J87" i="7"/>
  <c r="K87" i="7"/>
  <c r="L87" i="7"/>
  <c r="C88" i="7"/>
  <c r="D88" i="7"/>
  <c r="E88" i="7"/>
  <c r="F88" i="7"/>
  <c r="G88" i="7"/>
  <c r="H88" i="7"/>
  <c r="I88" i="7"/>
  <c r="J88" i="7"/>
  <c r="K88" i="7"/>
  <c r="L88" i="7"/>
  <c r="C89" i="7"/>
  <c r="D89" i="7"/>
  <c r="E89" i="7"/>
  <c r="F89" i="7"/>
  <c r="G89" i="7"/>
  <c r="H89" i="7"/>
  <c r="I89" i="7"/>
  <c r="J89" i="7"/>
  <c r="K89" i="7"/>
  <c r="L89" i="7"/>
  <c r="C90" i="7"/>
  <c r="D90" i="7"/>
  <c r="E90" i="7"/>
  <c r="F90" i="7"/>
  <c r="G90" i="7"/>
  <c r="H90" i="7"/>
  <c r="I90" i="7"/>
  <c r="J90" i="7"/>
  <c r="K90" i="7"/>
  <c r="L90" i="7"/>
  <c r="C91" i="7"/>
  <c r="D91" i="7"/>
  <c r="E91" i="7"/>
  <c r="F91" i="7"/>
  <c r="G91" i="7"/>
  <c r="H91" i="7"/>
  <c r="I91" i="7"/>
  <c r="J91" i="7"/>
  <c r="K91" i="7"/>
  <c r="L91" i="7"/>
  <c r="C92" i="7"/>
  <c r="D92" i="7"/>
  <c r="E92" i="7"/>
  <c r="F92" i="7"/>
  <c r="G92" i="7"/>
  <c r="H92" i="7"/>
  <c r="I92" i="7"/>
  <c r="J92" i="7"/>
  <c r="K92" i="7"/>
  <c r="L92" i="7"/>
  <c r="D79" i="7"/>
  <c r="E79" i="7"/>
  <c r="F79" i="7"/>
  <c r="G79" i="7"/>
  <c r="H79" i="7"/>
  <c r="I79" i="7"/>
  <c r="J79" i="7"/>
  <c r="K79" i="7"/>
  <c r="L79" i="7"/>
  <c r="C79" i="7"/>
  <c r="D76" i="7"/>
  <c r="E76" i="7"/>
  <c r="F76" i="7"/>
  <c r="G76" i="7"/>
  <c r="H76" i="7"/>
  <c r="I76" i="7"/>
  <c r="J76" i="7"/>
  <c r="K76" i="7"/>
  <c r="L76" i="7"/>
  <c r="C76" i="7"/>
  <c r="D68" i="7"/>
  <c r="E68" i="7"/>
  <c r="F68" i="7"/>
  <c r="G68" i="7"/>
  <c r="H68" i="7"/>
  <c r="I68" i="7"/>
  <c r="J68" i="7"/>
  <c r="K68" i="7"/>
  <c r="L68" i="7"/>
  <c r="D69" i="7"/>
  <c r="E69" i="7"/>
  <c r="F69" i="7"/>
  <c r="G69" i="7"/>
  <c r="H69" i="7"/>
  <c r="I69" i="7"/>
  <c r="J69" i="7"/>
  <c r="K69" i="7"/>
  <c r="L69" i="7"/>
  <c r="D70" i="7"/>
  <c r="E70" i="7"/>
  <c r="F70" i="7"/>
  <c r="G70" i="7"/>
  <c r="H70" i="7"/>
  <c r="I70" i="7"/>
  <c r="J70" i="7"/>
  <c r="K70" i="7"/>
  <c r="L70" i="7"/>
  <c r="D71" i="7"/>
  <c r="E71" i="7"/>
  <c r="F71" i="7"/>
  <c r="G71" i="7"/>
  <c r="H71" i="7"/>
  <c r="I71" i="7"/>
  <c r="J71" i="7"/>
  <c r="K71" i="7"/>
  <c r="L71" i="7"/>
  <c r="D72" i="7"/>
  <c r="E72" i="7"/>
  <c r="F72" i="7"/>
  <c r="G72" i="7"/>
  <c r="H72" i="7"/>
  <c r="I72" i="7"/>
  <c r="J72" i="7"/>
  <c r="K72" i="7"/>
  <c r="L72" i="7"/>
  <c r="D73" i="7"/>
  <c r="E73" i="7"/>
  <c r="F73" i="7"/>
  <c r="G73" i="7"/>
  <c r="H73" i="7"/>
  <c r="I73" i="7"/>
  <c r="J73" i="7"/>
  <c r="K73" i="7"/>
  <c r="L73" i="7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C69" i="7"/>
  <c r="C70" i="7"/>
  <c r="C71" i="7"/>
  <c r="C72" i="7"/>
  <c r="C73" i="7"/>
  <c r="C74" i="7"/>
  <c r="C75" i="7"/>
  <c r="C68" i="7"/>
  <c r="D60" i="7"/>
  <c r="D62" i="7" s="1"/>
  <c r="E60" i="7"/>
  <c r="E62" i="7" s="1"/>
  <c r="F60" i="7"/>
  <c r="F62" i="7" s="1"/>
  <c r="G60" i="7"/>
  <c r="G62" i="7" s="1"/>
  <c r="H60" i="7"/>
  <c r="H62" i="7" s="1"/>
  <c r="I60" i="7"/>
  <c r="I62" i="7" s="1"/>
  <c r="J60" i="7"/>
  <c r="J62" i="7" s="1"/>
  <c r="K60" i="7"/>
  <c r="K62" i="7" s="1"/>
  <c r="L60" i="7"/>
  <c r="L62" i="7" s="1"/>
  <c r="C60" i="7"/>
  <c r="D55" i="7"/>
  <c r="E55" i="7"/>
  <c r="F55" i="7"/>
  <c r="G55" i="7"/>
  <c r="H55" i="7"/>
  <c r="I55" i="7"/>
  <c r="J55" i="7"/>
  <c r="K55" i="7"/>
  <c r="L55" i="7"/>
  <c r="C55" i="7"/>
  <c r="C58" i="7"/>
  <c r="D58" i="7"/>
  <c r="E58" i="7"/>
  <c r="F58" i="7"/>
  <c r="G58" i="7"/>
  <c r="H58" i="7"/>
  <c r="I58" i="7"/>
  <c r="J58" i="7"/>
  <c r="K58" i="7"/>
  <c r="L58" i="7"/>
  <c r="C59" i="7"/>
  <c r="D59" i="7"/>
  <c r="E59" i="7"/>
  <c r="F59" i="7"/>
  <c r="G59" i="7"/>
  <c r="H59" i="7"/>
  <c r="I59" i="7"/>
  <c r="J59" i="7"/>
  <c r="K59" i="7"/>
  <c r="L59" i="7"/>
  <c r="D57" i="7"/>
  <c r="E57" i="7"/>
  <c r="F57" i="7"/>
  <c r="G57" i="7"/>
  <c r="H57" i="7"/>
  <c r="I57" i="7"/>
  <c r="J57" i="7"/>
  <c r="K57" i="7"/>
  <c r="L57" i="7"/>
  <c r="C57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1" i="7"/>
  <c r="E51" i="7"/>
  <c r="F51" i="7"/>
  <c r="G51" i="7"/>
  <c r="H51" i="7"/>
  <c r="I51" i="7"/>
  <c r="J51" i="7"/>
  <c r="K51" i="7"/>
  <c r="L51" i="7"/>
  <c r="C51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I46" i="7"/>
  <c r="J46" i="7"/>
  <c r="K46" i="7"/>
  <c r="L46" i="7"/>
  <c r="D47" i="7"/>
  <c r="E47" i="7"/>
  <c r="F47" i="7"/>
  <c r="G47" i="7"/>
  <c r="H47" i="7"/>
  <c r="I47" i="7"/>
  <c r="J47" i="7"/>
  <c r="K47" i="7"/>
  <c r="L47" i="7"/>
  <c r="D48" i="7"/>
  <c r="E48" i="7"/>
  <c r="F48" i="7"/>
  <c r="G48" i="7"/>
  <c r="H48" i="7"/>
  <c r="I48" i="7"/>
  <c r="J48" i="7"/>
  <c r="K48" i="7"/>
  <c r="L48" i="7"/>
  <c r="D49" i="7"/>
  <c r="E49" i="7"/>
  <c r="F49" i="7"/>
  <c r="G49" i="7"/>
  <c r="H49" i="7"/>
  <c r="I49" i="7"/>
  <c r="J49" i="7"/>
  <c r="K49" i="7"/>
  <c r="L49" i="7"/>
  <c r="C46" i="7"/>
  <c r="C47" i="7"/>
  <c r="C48" i="7"/>
  <c r="C49" i="7"/>
  <c r="C45" i="7"/>
  <c r="D34" i="7"/>
  <c r="D39" i="7" s="1"/>
  <c r="E34" i="7"/>
  <c r="E39" i="7" s="1"/>
  <c r="E9" i="10" s="1"/>
  <c r="F34" i="7"/>
  <c r="F39" i="7" s="1"/>
  <c r="F9" i="10" s="1"/>
  <c r="G34" i="7"/>
  <c r="G39" i="7" s="1"/>
  <c r="G9" i="10" s="1"/>
  <c r="H34" i="7"/>
  <c r="H39" i="7" s="1"/>
  <c r="H9" i="10" s="1"/>
  <c r="I34" i="7"/>
  <c r="I39" i="7" s="1"/>
  <c r="J34" i="7"/>
  <c r="J39" i="7" s="1"/>
  <c r="J9" i="10" s="1"/>
  <c r="K34" i="7"/>
  <c r="K39" i="7" s="1"/>
  <c r="L34" i="7"/>
  <c r="L39" i="7" s="1"/>
  <c r="L9" i="10" s="1"/>
  <c r="C34" i="7"/>
  <c r="C39" i="7" s="1"/>
  <c r="M31" i="7"/>
  <c r="M28" i="7"/>
  <c r="D28" i="7"/>
  <c r="E28" i="7"/>
  <c r="F28" i="7"/>
  <c r="G28" i="7"/>
  <c r="H28" i="7"/>
  <c r="I28" i="7"/>
  <c r="J28" i="7"/>
  <c r="K28" i="7"/>
  <c r="L28" i="7"/>
  <c r="C28" i="7"/>
  <c r="M22" i="7"/>
  <c r="D22" i="7"/>
  <c r="E22" i="7"/>
  <c r="F22" i="7"/>
  <c r="G22" i="7"/>
  <c r="H22" i="7"/>
  <c r="I22" i="7"/>
  <c r="J22" i="7"/>
  <c r="K22" i="7"/>
  <c r="L22" i="7"/>
  <c r="C22" i="7"/>
  <c r="M19" i="7"/>
  <c r="C8" i="7"/>
  <c r="D19" i="7"/>
  <c r="E19" i="7"/>
  <c r="F19" i="7"/>
  <c r="G19" i="7"/>
  <c r="H19" i="7"/>
  <c r="I19" i="7"/>
  <c r="J19" i="7"/>
  <c r="K19" i="7"/>
  <c r="L19" i="7"/>
  <c r="C19" i="7"/>
  <c r="D13" i="7"/>
  <c r="E13" i="7"/>
  <c r="F13" i="7"/>
  <c r="G13" i="7"/>
  <c r="H13" i="7"/>
  <c r="I13" i="7"/>
  <c r="J13" i="7"/>
  <c r="K13" i="7"/>
  <c r="L13" i="7"/>
  <c r="M13" i="7"/>
  <c r="C13" i="7"/>
  <c r="M8" i="7"/>
  <c r="D8" i="7"/>
  <c r="E8" i="7"/>
  <c r="F8" i="7"/>
  <c r="G8" i="7"/>
  <c r="H8" i="7"/>
  <c r="I8" i="7"/>
  <c r="J8" i="7"/>
  <c r="K8" i="7"/>
  <c r="L8" i="7"/>
  <c r="M5" i="7"/>
  <c r="C6" i="7"/>
  <c r="D5" i="7"/>
  <c r="E5" i="7"/>
  <c r="F5" i="7"/>
  <c r="G5" i="7"/>
  <c r="G11" i="7" s="1"/>
  <c r="G11" i="10" s="1"/>
  <c r="H5" i="7"/>
  <c r="I5" i="7"/>
  <c r="J5" i="7"/>
  <c r="K5" i="7"/>
  <c r="L5" i="7"/>
  <c r="C5" i="7"/>
  <c r="C3" i="7"/>
  <c r="D3" i="7"/>
  <c r="E3" i="7"/>
  <c r="F3" i="7"/>
  <c r="G3" i="7"/>
  <c r="H3" i="7"/>
  <c r="I3" i="7"/>
  <c r="J3" i="7"/>
  <c r="K3" i="7"/>
  <c r="L3" i="7"/>
  <c r="B2" i="7"/>
  <c r="B6" i="6"/>
  <c r="E1" i="6"/>
  <c r="F34" i="14" l="1"/>
  <c r="F37" i="14" s="1"/>
  <c r="F56" i="14" s="1"/>
  <c r="H59" i="14"/>
  <c r="F42" i="14"/>
  <c r="F48" i="14" s="1"/>
  <c r="F49" i="14" s="1"/>
  <c r="I42" i="14"/>
  <c r="I48" i="14" s="1"/>
  <c r="I49" i="14" s="1"/>
  <c r="I57" i="14" s="1"/>
  <c r="H38" i="10"/>
  <c r="N32" i="10"/>
  <c r="F57" i="14"/>
  <c r="F59" i="14" s="1"/>
  <c r="I52" i="14"/>
  <c r="I51" i="14"/>
  <c r="G59" i="14"/>
  <c r="I59" i="14"/>
  <c r="D9" i="10"/>
  <c r="K9" i="10"/>
  <c r="I9" i="10"/>
  <c r="H40" i="10"/>
  <c r="H42" i="10"/>
  <c r="F40" i="10"/>
  <c r="F42" i="10"/>
  <c r="E40" i="10"/>
  <c r="E42" i="10"/>
  <c r="D40" i="10"/>
  <c r="D42" i="10"/>
  <c r="L40" i="10"/>
  <c r="L42" i="10"/>
  <c r="K40" i="10"/>
  <c r="K42" i="10"/>
  <c r="I40" i="10"/>
  <c r="I42" i="10"/>
  <c r="G42" i="10"/>
  <c r="G40" i="10"/>
  <c r="C40" i="10"/>
  <c r="C42" i="10"/>
  <c r="J40" i="10"/>
  <c r="J42" i="10"/>
  <c r="H64" i="7"/>
  <c r="H41" i="10"/>
  <c r="F64" i="7"/>
  <c r="F41" i="10"/>
  <c r="K64" i="7"/>
  <c r="K41" i="10"/>
  <c r="I64" i="7"/>
  <c r="I41" i="10"/>
  <c r="G64" i="7"/>
  <c r="G41" i="10"/>
  <c r="E64" i="7"/>
  <c r="E41" i="10"/>
  <c r="L64" i="7"/>
  <c r="L41" i="10"/>
  <c r="J64" i="7"/>
  <c r="J41" i="10"/>
  <c r="D64" i="7"/>
  <c r="D41" i="10"/>
  <c r="O37" i="10"/>
  <c r="O9" i="10"/>
  <c r="O31" i="10"/>
  <c r="H5" i="10"/>
  <c r="I38" i="10"/>
  <c r="N35" i="10"/>
  <c r="O36" i="10"/>
  <c r="N31" i="10"/>
  <c r="O35" i="10"/>
  <c r="N30" i="10"/>
  <c r="O32" i="10"/>
  <c r="N29" i="10"/>
  <c r="N28" i="10"/>
  <c r="O30" i="10"/>
  <c r="O29" i="10"/>
  <c r="N9" i="10"/>
  <c r="O28" i="10"/>
  <c r="L38" i="10"/>
  <c r="K38" i="10"/>
  <c r="N37" i="10"/>
  <c r="N36" i="10"/>
  <c r="J38" i="10"/>
  <c r="G38" i="10"/>
  <c r="C38" i="10"/>
  <c r="D38" i="10"/>
  <c r="F38" i="10"/>
  <c r="E38" i="10"/>
  <c r="L11" i="7"/>
  <c r="J11" i="7"/>
  <c r="H11" i="7"/>
  <c r="G9" i="7"/>
  <c r="L6" i="7"/>
  <c r="L4" i="10" s="1"/>
  <c r="I9" i="7"/>
  <c r="I20" i="7"/>
  <c r="K20" i="7"/>
  <c r="K14" i="7"/>
  <c r="K18" i="10" s="1"/>
  <c r="F9" i="7"/>
  <c r="F14" i="7"/>
  <c r="F18" i="10" s="1"/>
  <c r="K9" i="7"/>
  <c r="I23" i="7"/>
  <c r="I19" i="10" s="1"/>
  <c r="E9" i="7"/>
  <c r="D9" i="7"/>
  <c r="G16" i="7"/>
  <c r="H23" i="7"/>
  <c r="H19" i="10" s="1"/>
  <c r="F20" i="7"/>
  <c r="G23" i="7"/>
  <c r="G19" i="10" s="1"/>
  <c r="E20" i="7"/>
  <c r="F23" i="7"/>
  <c r="F19" i="10" s="1"/>
  <c r="D20" i="7"/>
  <c r="E23" i="7"/>
  <c r="E19" i="10" s="1"/>
  <c r="E14" i="7"/>
  <c r="E18" i="10" s="1"/>
  <c r="D23" i="7"/>
  <c r="D19" i="10" s="1"/>
  <c r="K6" i="7"/>
  <c r="K4" i="10" s="1"/>
  <c r="D14" i="7"/>
  <c r="D18" i="10" s="1"/>
  <c r="M20" i="7"/>
  <c r="D11" i="7"/>
  <c r="G20" i="7"/>
  <c r="J23" i="7"/>
  <c r="J19" i="10" s="1"/>
  <c r="M11" i="7"/>
  <c r="M16" i="7" s="1"/>
  <c r="M17" i="7" s="1"/>
  <c r="C20" i="7"/>
  <c r="I11" i="7"/>
  <c r="J9" i="7"/>
  <c r="L20" i="7"/>
  <c r="M23" i="7"/>
  <c r="M32" i="7"/>
  <c r="M14" i="7"/>
  <c r="C23" i="7"/>
  <c r="C19" i="10" s="1"/>
  <c r="O19" i="10" s="1"/>
  <c r="H9" i="7"/>
  <c r="J20" i="7"/>
  <c r="F6" i="7"/>
  <c r="F4" i="10" s="1"/>
  <c r="I14" i="7"/>
  <c r="I18" i="10" s="1"/>
  <c r="L23" i="7"/>
  <c r="L19" i="10" s="1"/>
  <c r="E6" i="7"/>
  <c r="E4" i="10" s="1"/>
  <c r="H20" i="7"/>
  <c r="K23" i="7"/>
  <c r="K19" i="10" s="1"/>
  <c r="G14" i="7"/>
  <c r="G18" i="10" s="1"/>
  <c r="E11" i="7"/>
  <c r="M6" i="7"/>
  <c r="D6" i="7"/>
  <c r="D4" i="10" s="1"/>
  <c r="K11" i="7"/>
  <c r="J6" i="7"/>
  <c r="J4" i="10" s="1"/>
  <c r="C14" i="7"/>
  <c r="C18" i="10" s="1"/>
  <c r="F11" i="7"/>
  <c r="M9" i="7"/>
  <c r="L14" i="7"/>
  <c r="L18" i="10" s="1"/>
  <c r="G6" i="7"/>
  <c r="G4" i="10" s="1"/>
  <c r="L9" i="7"/>
  <c r="H14" i="7"/>
  <c r="H18" i="10" s="1"/>
  <c r="I6" i="7"/>
  <c r="I4" i="10" s="1"/>
  <c r="H6" i="7"/>
  <c r="H4" i="10" s="1"/>
  <c r="J14" i="7"/>
  <c r="J18" i="10" s="1"/>
  <c r="C11" i="7"/>
  <c r="C9" i="7"/>
  <c r="I62" i="14" l="1"/>
  <c r="I61" i="14"/>
  <c r="O40" i="10"/>
  <c r="N40" i="10"/>
  <c r="N42" i="10"/>
  <c r="O42" i="10"/>
  <c r="I16" i="7"/>
  <c r="I11" i="10"/>
  <c r="J5" i="10"/>
  <c r="F16" i="7"/>
  <c r="F17" i="7" s="1"/>
  <c r="F13" i="10" s="1"/>
  <c r="F11" i="10"/>
  <c r="G5" i="10"/>
  <c r="N18" i="10"/>
  <c r="K16" i="7"/>
  <c r="L5" i="10"/>
  <c r="K11" i="10"/>
  <c r="D16" i="7"/>
  <c r="E5" i="10"/>
  <c r="D11" i="10"/>
  <c r="O4" i="10"/>
  <c r="N19" i="10"/>
  <c r="G17" i="7"/>
  <c r="G13" i="10" s="1"/>
  <c r="G22" i="10"/>
  <c r="G14" i="10"/>
  <c r="G20" i="10" s="1"/>
  <c r="G6" i="10"/>
  <c r="G26" i="10"/>
  <c r="C16" i="7"/>
  <c r="C25" i="7" s="1"/>
  <c r="D5" i="10"/>
  <c r="C11" i="10"/>
  <c r="E16" i="7"/>
  <c r="E11" i="10"/>
  <c r="F5" i="10"/>
  <c r="H16" i="7"/>
  <c r="H11" i="10"/>
  <c r="I5" i="10"/>
  <c r="K5" i="10"/>
  <c r="J11" i="10"/>
  <c r="O18" i="10"/>
  <c r="L16" i="7"/>
  <c r="L11" i="10"/>
  <c r="J16" i="7"/>
  <c r="N4" i="10"/>
  <c r="O38" i="10"/>
  <c r="N38" i="10"/>
  <c r="G25" i="7"/>
  <c r="H17" i="7"/>
  <c r="H13" i="10" s="1"/>
  <c r="M25" i="7"/>
  <c r="M26" i="7" s="1"/>
  <c r="I25" i="7"/>
  <c r="I17" i="7"/>
  <c r="I13" i="10" s="1"/>
  <c r="F25" i="7"/>
  <c r="O11" i="10" l="1"/>
  <c r="N11" i="10"/>
  <c r="D22" i="10"/>
  <c r="D14" i="10"/>
  <c r="D20" i="10" s="1"/>
  <c r="D26" i="10"/>
  <c r="D6" i="10"/>
  <c r="K26" i="10"/>
  <c r="K6" i="10"/>
  <c r="K22" i="10"/>
  <c r="K14" i="10"/>
  <c r="K20" i="10" s="1"/>
  <c r="E6" i="10"/>
  <c r="E22" i="10"/>
  <c r="E14" i="10"/>
  <c r="E20" i="10" s="1"/>
  <c r="E26" i="10"/>
  <c r="C17" i="7"/>
  <c r="C13" i="10" s="1"/>
  <c r="L17" i="7"/>
  <c r="L13" i="10" s="1"/>
  <c r="L26" i="10"/>
  <c r="L22" i="10"/>
  <c r="L6" i="10"/>
  <c r="L14" i="10"/>
  <c r="L20" i="10" s="1"/>
  <c r="L25" i="7"/>
  <c r="G29" i="7"/>
  <c r="G7" i="10"/>
  <c r="J17" i="7"/>
  <c r="J13" i="10" s="1"/>
  <c r="J26" i="10"/>
  <c r="J22" i="10"/>
  <c r="J6" i="10"/>
  <c r="J14" i="10"/>
  <c r="J20" i="10" s="1"/>
  <c r="O5" i="10"/>
  <c r="N5" i="10"/>
  <c r="J25" i="7"/>
  <c r="F6" i="10"/>
  <c r="F22" i="10"/>
  <c r="F14" i="10"/>
  <c r="F20" i="10" s="1"/>
  <c r="F26" i="10"/>
  <c r="D17" i="7"/>
  <c r="D13" i="10" s="1"/>
  <c r="J4" i="11" a="1"/>
  <c r="C26" i="10"/>
  <c r="C14" i="10"/>
  <c r="C22" i="10"/>
  <c r="D25" i="7"/>
  <c r="D7" i="10" s="1"/>
  <c r="E25" i="7"/>
  <c r="E7" i="10" s="1"/>
  <c r="E17" i="7"/>
  <c r="E13" i="10" s="1"/>
  <c r="H25" i="7"/>
  <c r="H6" i="10"/>
  <c r="H22" i="10"/>
  <c r="H14" i="10"/>
  <c r="H20" i="10" s="1"/>
  <c r="H26" i="10"/>
  <c r="K17" i="7"/>
  <c r="K13" i="10" s="1"/>
  <c r="K25" i="7"/>
  <c r="K26" i="7" s="1"/>
  <c r="K15" i="10" s="1"/>
  <c r="I26" i="10"/>
  <c r="I14" i="10"/>
  <c r="I20" i="10" s="1"/>
  <c r="I22" i="10"/>
  <c r="I6" i="10"/>
  <c r="G26" i="7"/>
  <c r="G15" i="10" s="1"/>
  <c r="J31" i="7"/>
  <c r="J26" i="7"/>
  <c r="J15" i="10" s="1"/>
  <c r="G31" i="7"/>
  <c r="M29" i="7"/>
  <c r="E31" i="7"/>
  <c r="E26" i="7"/>
  <c r="E15" i="10" s="1"/>
  <c r="F26" i="7"/>
  <c r="F15" i="10" s="1"/>
  <c r="F31" i="7"/>
  <c r="F29" i="7"/>
  <c r="I26" i="7"/>
  <c r="I15" i="10" s="1"/>
  <c r="I31" i="7"/>
  <c r="I29" i="7"/>
  <c r="D31" i="7"/>
  <c r="D26" i="7"/>
  <c r="D15" i="10" s="1"/>
  <c r="D29" i="7"/>
  <c r="C26" i="7"/>
  <c r="C15" i="10" s="1"/>
  <c r="C31" i="7"/>
  <c r="C24" i="10" s="1"/>
  <c r="C29" i="7"/>
  <c r="E29" i="7" l="1"/>
  <c r="K7" i="10"/>
  <c r="K29" i="7"/>
  <c r="G36" i="7"/>
  <c r="G8" i="10"/>
  <c r="G24" i="10"/>
  <c r="H29" i="7"/>
  <c r="H7" i="10"/>
  <c r="H31" i="7"/>
  <c r="H26" i="7"/>
  <c r="H15" i="10" s="1"/>
  <c r="O15" i="10" s="1"/>
  <c r="L29" i="7"/>
  <c r="L7" i="10"/>
  <c r="L26" i="7"/>
  <c r="L15" i="10" s="1"/>
  <c r="L31" i="7"/>
  <c r="J24" i="10"/>
  <c r="J8" i="10"/>
  <c r="J29" i="7"/>
  <c r="J7" i="10"/>
  <c r="D24" i="10"/>
  <c r="D8" i="10"/>
  <c r="E24" i="10"/>
  <c r="E8" i="10"/>
  <c r="I24" i="10"/>
  <c r="O22" i="10"/>
  <c r="N22" i="10"/>
  <c r="O6" i="10"/>
  <c r="N6" i="10"/>
  <c r="F24" i="10"/>
  <c r="F8" i="10"/>
  <c r="O14" i="10"/>
  <c r="N14" i="10"/>
  <c r="C20" i="10"/>
  <c r="O26" i="10"/>
  <c r="N26" i="10"/>
  <c r="O13" i="10"/>
  <c r="N13" i="10"/>
  <c r="J4" i="11"/>
  <c r="K5" i="11" s="1"/>
  <c r="K13" i="11"/>
  <c r="K6" i="11"/>
  <c r="K7" i="11"/>
  <c r="K8" i="11"/>
  <c r="K9" i="11"/>
  <c r="K10" i="11"/>
  <c r="K11" i="11"/>
  <c r="K12" i="11"/>
  <c r="F7" i="10"/>
  <c r="O7" i="10" s="1"/>
  <c r="J36" i="7"/>
  <c r="J42" i="7" s="1"/>
  <c r="J23" i="10" s="1"/>
  <c r="J32" i="7"/>
  <c r="J16" i="10" s="1"/>
  <c r="K31" i="7"/>
  <c r="I7" i="10"/>
  <c r="G32" i="7"/>
  <c r="G16" i="10" s="1"/>
  <c r="G42" i="7"/>
  <c r="G23" i="10" s="1"/>
  <c r="G40" i="7"/>
  <c r="E32" i="7"/>
  <c r="E16" i="10" s="1"/>
  <c r="E36" i="7"/>
  <c r="D32" i="7"/>
  <c r="D16" i="10" s="1"/>
  <c r="D36" i="7"/>
  <c r="I36" i="7"/>
  <c r="I32" i="7"/>
  <c r="I16" i="10" s="1"/>
  <c r="F36" i="7"/>
  <c r="G37" i="7" s="1"/>
  <c r="F32" i="7"/>
  <c r="F16" i="10" s="1"/>
  <c r="C32" i="7"/>
  <c r="C16" i="10" s="1"/>
  <c r="C36" i="7"/>
  <c r="J37" i="7" l="1"/>
  <c r="N7" i="10"/>
  <c r="G25" i="10"/>
  <c r="H24" i="10"/>
  <c r="H8" i="10"/>
  <c r="H36" i="7"/>
  <c r="H32" i="7"/>
  <c r="H16" i="10" s="1"/>
  <c r="N15" i="10"/>
  <c r="K24" i="10"/>
  <c r="K8" i="10"/>
  <c r="J18" i="11"/>
  <c r="K18" i="11" s="1"/>
  <c r="J17" i="11"/>
  <c r="K17" i="11" s="1"/>
  <c r="J15" i="11"/>
  <c r="J16" i="11"/>
  <c r="K16" i="11" s="1"/>
  <c r="J14" i="11"/>
  <c r="K14" i="11" s="1"/>
  <c r="J40" i="7"/>
  <c r="I8" i="10"/>
  <c r="J25" i="10"/>
  <c r="K36" i="7"/>
  <c r="K37" i="7" s="1"/>
  <c r="L8" i="10"/>
  <c r="L24" i="10"/>
  <c r="N24" i="10" s="1"/>
  <c r="L32" i="7"/>
  <c r="L16" i="10" s="1"/>
  <c r="L36" i="7"/>
  <c r="L40" i="7" s="1"/>
  <c r="L42" i="7" s="1"/>
  <c r="L23" i="10" s="1"/>
  <c r="K32" i="7"/>
  <c r="K16" i="10" s="1"/>
  <c r="O16" i="10" s="1"/>
  <c r="O20" i="10"/>
  <c r="N20" i="10"/>
  <c r="F37" i="7"/>
  <c r="F40" i="7"/>
  <c r="F42" i="7" s="1"/>
  <c r="F23" i="10" s="1"/>
  <c r="F25" i="10" s="1"/>
  <c r="C40" i="7"/>
  <c r="C42" i="7" s="1"/>
  <c r="C23" i="10" s="1"/>
  <c r="I37" i="7"/>
  <c r="I42" i="7"/>
  <c r="I23" i="10" s="1"/>
  <c r="I25" i="10" s="1"/>
  <c r="I40" i="7"/>
  <c r="D42" i="7"/>
  <c r="D23" i="10" s="1"/>
  <c r="D25" i="10" s="1"/>
  <c r="D37" i="7"/>
  <c r="D40" i="7"/>
  <c r="E42" i="7"/>
  <c r="E23" i="10" s="1"/>
  <c r="E25" i="10" s="1"/>
  <c r="E37" i="7"/>
  <c r="E40" i="7"/>
  <c r="C62" i="7"/>
  <c r="L37" i="7" l="1"/>
  <c r="O8" i="10"/>
  <c r="K40" i="7"/>
  <c r="K42" i="7" s="1"/>
  <c r="K23" i="10" s="1"/>
  <c r="K25" i="10" s="1"/>
  <c r="C64" i="7"/>
  <c r="C41" i="10"/>
  <c r="O24" i="10"/>
  <c r="C25" i="10"/>
  <c r="N16" i="10"/>
  <c r="H37" i="7"/>
  <c r="H40" i="7"/>
  <c r="H42" i="7" s="1"/>
  <c r="H23" i="10" s="1"/>
  <c r="H25" i="10" s="1"/>
  <c r="N8" i="10"/>
  <c r="L25" i="10"/>
  <c r="K15" i="11"/>
  <c r="O25" i="10" l="1"/>
  <c r="O41" i="10"/>
  <c r="N41" i="10"/>
  <c r="N23" i="10"/>
  <c r="O23" i="10"/>
  <c r="N2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<sst xmlns="http://schemas.openxmlformats.org/spreadsheetml/2006/main" count="391" uniqueCount="254">
  <si>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</si>
  <si>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</si>
  <si>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</si>
  <si>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</si>
  <si>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</si>
  <si>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</si>
  <si>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</si>
  <si>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</si>
  <si>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</si>
  <si>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</si>
  <si>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</si>
  <si>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</si>
  <si>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</si>
  <si>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</si>
  <si>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</si>
  <si>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</si>
  <si>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</si>
  <si>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</si>
  <si>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</si>
  <si>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</si>
  <si>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</si>
  <si>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</si>
  <si>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</si>
  <si>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</si>
  <si>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</si>
  <si>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</si>
  <si>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</si>
  <si>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</si>
  <si>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</si>
  <si>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</si>
  <si>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</si>
  <si>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</si>
  <si>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</si>
  <si>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</si>
  <si>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</si>
  <si>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</si>
  <si>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</si>
  <si>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</si>
  <si>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</si>
  <si>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</si>
  <si>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</si>
  <si>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</si>
  <si>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</si>
  <si>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</si>
  <si>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</si>
  <si>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</si>
  <si>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</si>
  <si>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</si>
  <si>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</si>
  <si>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</si>
  <si>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</si>
  <si>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</si>
  <si>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</si>
  <si>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</si>
  <si>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</si>
  <si>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</si>
  <si>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</si>
  <si>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</si>
  <si>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</si>
  <si>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COGS</t>
  </si>
  <si>
    <t>COGS % Sales</t>
  </si>
  <si>
    <t>Gross Profit</t>
  </si>
  <si>
    <t>Selling and general expenses</t>
  </si>
  <si>
    <t>S&amp;G Expenses % Sales</t>
  </si>
  <si>
    <t>EBIDTA</t>
  </si>
  <si>
    <t>Interest % Sales</t>
  </si>
  <si>
    <t>EBIDTA % Margins</t>
  </si>
  <si>
    <t>Depreciation % Sales</t>
  </si>
  <si>
    <t>EPS</t>
  </si>
  <si>
    <t>Earnings before taxes</t>
  </si>
  <si>
    <t>EBT % Sales</t>
  </si>
  <si>
    <t>Effective tax rate</t>
  </si>
  <si>
    <t>Net Profit</t>
  </si>
  <si>
    <t>Net Margins</t>
  </si>
  <si>
    <t>Dividend per share</t>
  </si>
  <si>
    <t>EPS growth %</t>
  </si>
  <si>
    <t>dividend pay ratio</t>
  </si>
  <si>
    <t>Retained earnings</t>
  </si>
  <si>
    <t>Balance Sheet</t>
  </si>
  <si>
    <t>Total Assets</t>
  </si>
  <si>
    <t>Fixed Assets Net Block</t>
  </si>
  <si>
    <t>Total non - current Assets</t>
  </si>
  <si>
    <t>Total current Assets</t>
  </si>
  <si>
    <t>Total liabilities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</si>
  <si>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</si>
  <si>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</si>
  <si>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</si>
  <si>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</si>
  <si>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</si>
  <si>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</si>
  <si>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</si>
  <si>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</si>
  <si>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</si>
  <si>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</si>
  <si>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</si>
  <si>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</si>
  <si>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</si>
  <si>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</si>
  <si>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</si>
  <si>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</si>
  <si>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</si>
  <si>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</si>
  <si>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</si>
  <si>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</si>
  <si>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</si>
  <si>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</si>
  <si>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</si>
  <si>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</si>
  <si>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</si>
  <si>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</si>
  <si>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</si>
  <si>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</si>
  <si>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</si>
  <si>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</si>
  <si>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</si>
  <si>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</si>
  <si>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</si>
  <si>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</si>
  <si>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</si>
  <si>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</si>
  <si>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</si>
  <si>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Net cashflow</t>
  </si>
  <si>
    <t>SalesGrowth</t>
  </si>
  <si>
    <t>GrossMargin</t>
  </si>
  <si>
    <t>EBITDA Growth</t>
  </si>
  <si>
    <t>EBIT Growth</t>
  </si>
  <si>
    <t>Net Profit Growth</t>
  </si>
  <si>
    <t>Dividend Growth</t>
  </si>
  <si>
    <t>Gross Margin</t>
  </si>
  <si>
    <t>Operating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</si>
  <si>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</si>
  <si>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</si>
  <si>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</si>
  <si>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</si>
  <si>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</si>
  <si>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</si>
  <si>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</si>
  <si>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</si>
  <si>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</si>
  <si>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</si>
  <si>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</si>
  <si>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</si>
  <si>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</si>
  <si>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</si>
  <si>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</si>
  <si>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</si>
  <si>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</si>
  <si>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</si>
  <si>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</si>
  <si>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</si>
  <si>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</si>
  <si>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</si>
  <si>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</si>
  <si>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</si>
  <si>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Trend</t>
  </si>
  <si>
    <t>Mean</t>
  </si>
  <si>
    <t>Median</t>
  </si>
  <si>
    <t>Year Weight</t>
  </si>
  <si>
    <t>Year</t>
  </si>
  <si>
    <t>Sales growth</t>
  </si>
  <si>
    <t>EBIDTA growth</t>
  </si>
  <si>
    <t>Particulars</t>
  </si>
  <si>
    <t>Total Liabilities</t>
  </si>
  <si>
    <t>Other assets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</si>
  <si>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</si>
  <si>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</si>
  <si>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</si>
  <si>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</si>
  <si>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</si>
  <si>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</si>
  <si>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</si>
  <si>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</si>
  <si>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</si>
  <si>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</si>
  <si>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</si>
  <si>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</si>
  <si>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</si>
  <si>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</si>
  <si>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</si>
  <si>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</si>
  <si>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</si>
  <si>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</si>
  <si>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</si>
  <si>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</si>
  <si>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</si>
  <si>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</si>
  <si>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</si>
  <si>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</si>
  <si>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</si>
  <si>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</si>
  <si>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Prov for Doubtful</t>
  </si>
  <si>
    <t>Cash Equivalents</t>
  </si>
  <si>
    <t>Loans n Advances</t>
  </si>
  <si>
    <t>Other asset items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</si>
  <si>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</si>
  <si>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</si>
  <si>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</si>
  <si>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</si>
  <si>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</si>
  <si>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</si>
  <si>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Non-current Assets</t>
  </si>
  <si>
    <t>Accumulated Depreceation</t>
  </si>
  <si>
    <t>Net non-current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</si>
  <si>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</si>
  <si>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</si>
  <si>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</si>
  <si>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</si>
  <si>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</si>
  <si>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</si>
  <si>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</si>
  <si>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 xml:space="preserve">Reinvestment </t>
  </si>
  <si>
    <t>EBIT(1-T)</t>
  </si>
  <si>
    <t>Reinvestment Rate</t>
  </si>
  <si>
    <t>4 - year average</t>
  </si>
  <si>
    <t>4 - year median</t>
  </si>
  <si>
    <t>Calculation of Growth Rate</t>
  </si>
  <si>
    <t>Intrinsic growth Rate</t>
  </si>
  <si>
    <t>AVENUE SUPERMARTS LTD</t>
  </si>
  <si>
    <t>(Avenue Supermart | BSE Code : 540376)</t>
  </si>
  <si>
    <t>INR 4054</t>
  </si>
  <si>
    <t xml:space="preserve">52 Week ( High - 4949.50 &amp; Low - 4069.20)  </t>
  </si>
  <si>
    <t>About the company</t>
  </si>
  <si>
    <r>
      <t>Avenue Supermarts Limited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d/b/a</t>
    </r>
    <r>
      <rPr>
        <sz val="10"/>
        <color rgb="FF202122"/>
        <rFont val="Arial"/>
        <family val="2"/>
      </rPr>
      <t> </t>
    </r>
    <r>
      <rPr>
        <b/>
        <sz val="10"/>
        <color rgb="FF202122"/>
        <rFont val="Arial"/>
        <family val="2"/>
      </rPr>
      <t>DMart</t>
    </r>
    <r>
      <rPr>
        <sz val="10"/>
        <color rgb="FF202122"/>
        <rFont val="Arial"/>
        <family val="2"/>
      </rPr>
      <t>, is an Indian </t>
    </r>
    <r>
      <rPr>
        <sz val="10"/>
        <color rgb="FF3366CC"/>
        <rFont val="Arial"/>
        <family val="2"/>
      </rPr>
      <t>retail</t>
    </r>
    <r>
      <rPr>
        <sz val="10"/>
        <color rgb="FF202122"/>
        <rFont val="Arial"/>
        <family val="2"/>
      </rPr>
      <t> corporation that operates a chain of </t>
    </r>
    <r>
      <rPr>
        <sz val="10"/>
        <color rgb="FF3366CC"/>
        <rFont val="Arial"/>
        <family val="2"/>
      </rPr>
      <t>supermarkets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hypermarkets</t>
    </r>
    <r>
      <rPr>
        <sz val="10"/>
        <color rgb="FF202122"/>
        <rFont val="Arial"/>
        <family val="2"/>
      </rPr>
      <t>. The company was founded by </t>
    </r>
    <r>
      <rPr>
        <sz val="10"/>
        <color rgb="FF3366CC"/>
        <rFont val="Arial"/>
        <family val="2"/>
      </rPr>
      <t>Radhakishan Damani</t>
    </r>
    <r>
      <rPr>
        <sz val="10"/>
        <color rgb="FF202122"/>
        <rFont val="Arial"/>
        <family val="2"/>
      </rPr>
      <t> and is based in </t>
    </r>
    <r>
      <rPr>
        <sz val="10"/>
        <color rgb="FF3366CC"/>
        <rFont val="Arial"/>
        <family val="2"/>
      </rPr>
      <t>Mumbai</t>
    </r>
    <r>
      <rPr>
        <sz val="10"/>
        <color rgb="FF202122"/>
        <rFont val="Arial"/>
        <family val="2"/>
      </rPr>
      <t>. As of March 2025, DMart has 415 stores across 12 </t>
    </r>
    <r>
      <rPr>
        <sz val="10"/>
        <color rgb="FF3366CC"/>
        <rFont val="Arial"/>
        <family val="2"/>
      </rPr>
      <t>states and union territories</t>
    </r>
    <r>
      <rPr>
        <sz val="10"/>
        <color rgb="FF202122"/>
        <rFont val="Arial"/>
        <family val="2"/>
      </rPr>
      <t> in India.</t>
    </r>
  </si>
  <si>
    <t>Return on Equity (ROE)</t>
  </si>
  <si>
    <t>Average Shareholder Equity</t>
  </si>
  <si>
    <t>Return on Equity</t>
  </si>
  <si>
    <t>ROE - Dupont Equation</t>
  </si>
  <si>
    <t>Revenue</t>
  </si>
  <si>
    <t>Net Profit Margin (A)</t>
  </si>
  <si>
    <t xml:space="preserve">Average Total Asset </t>
  </si>
  <si>
    <t>Asset Turnover Ratio (B)</t>
  </si>
  <si>
    <t xml:space="preserve">Average Shareholder Equity </t>
  </si>
  <si>
    <t>Equity Multiplier</t>
  </si>
  <si>
    <t>Return on Equity (A*B*C)</t>
  </si>
  <si>
    <t>Return on Asset (ROA)</t>
  </si>
  <si>
    <t>Average Total Asset</t>
  </si>
  <si>
    <t>Return on Asset</t>
  </si>
  <si>
    <t>ROA - Dupont Equation</t>
  </si>
  <si>
    <t>Return on Asset (A*B)</t>
  </si>
  <si>
    <t>Financial Summary</t>
  </si>
  <si>
    <t>Working Capital / Total Assets</t>
  </si>
  <si>
    <t>Working Capital</t>
  </si>
  <si>
    <t>Retained Earnings / Total Assets</t>
  </si>
  <si>
    <t>Retained Earnings</t>
  </si>
  <si>
    <t>EBIT / Total Assets</t>
  </si>
  <si>
    <t>Market Cap / Long term liabilities</t>
  </si>
  <si>
    <t>Market Cap</t>
  </si>
  <si>
    <t>Long Term Liabilities</t>
  </si>
  <si>
    <t>Sales / Total Assets</t>
  </si>
  <si>
    <t>Total Asset</t>
  </si>
  <si>
    <t>Working Capital / Total Assets (A)</t>
  </si>
  <si>
    <t>Altman's Z Score</t>
  </si>
  <si>
    <t>Final Score</t>
  </si>
  <si>
    <t>Financial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</si>
</sst>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INR]\ #,##0.0_);[Red]\([$INR]\ #,##0.0\)"/>
    <numFmt numFmtId="167" formatCode="[$INR]\ #,##0.00"/>
    <numFmt numFmtId="168" formatCode="[$INR]\ #,##0.00_);[Red]\([$INR]\ #,##0.00\)"/>
    <numFmt numFmtId="169" formatCode="0.00\x"/>
    <numFmt numFmtId="170" formatCode="0.0"/>
    <numFmt numFmtId="171" formatCode="yyyy"/>
    <numFmt numFmtId="172" formatCode="yyyy\ &quot;A&quot;"/>
    <numFmt numFmtId="173" formatCode="yyyy\ &quot;E&quot;"/>
    <numFmt numFmtId="174" formatCode="#,##0.0;\-0;\-"/>
    <numFmt numFmtId="175" formatCode="#,##0.0"/>
    <numFmt numFmtId="176" formatCode="0.0;\-0;\-0"/>
    <numFmt numFmtId="177" formatCode="0.0;\-0;\-0;"/>
    <numFmt numFmtId="178" formatCode="#,##0.0\ \x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sz val="28"/>
      <color rgb="FF216B3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1B7345"/>
      <name val="Calibri"/>
      <family val="2"/>
      <scheme val="minor"/>
    </font>
    <font>
      <b/>
      <sz val="14"/>
      <color rgb="FF1B734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216B3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7345"/>
        <bgColor indexed="64"/>
      </patternFill>
    </fill>
    <fill>
      <patternFill patternType="solid">
        <fgColor rgb="FFA8E6C0"/>
        <bgColor indexed="64"/>
      </patternFill>
    </fill>
  </fills>
  <borders count="12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thick">
        <color rgb="FF216B32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11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43" fontId="0" fillId="0" borderId="0" xfId="1" applyNumberFormat="1" applyFont="1" applyBorder="1"/>
    <xf numFmtId="165" fontId="0" fillId="0" borderId="0" xfId="0" applyNumberFormat="1"/>
    <xf numFmtId="0" fontId="5" fillId="4" borderId="0" xfId="0" applyFont="1" applyFill="1"/>
    <xf numFmtId="165" fontId="5" fillId="4" borderId="0" xfId="0" applyNumberFormat="1" applyFont="1" applyFill="1"/>
    <xf numFmtId="0" fontId="5" fillId="4" borderId="0" xfId="0" applyFont="1" applyFill="1" applyAlignment="1">
      <alignment horizontal="right"/>
    </xf>
    <xf numFmtId="0" fontId="10" fillId="0" borderId="0" xfId="0" applyFont="1"/>
    <xf numFmtId="0" fontId="0" fillId="0" borderId="0" xfId="0" applyAlignment="1">
      <alignment horizontal="right" vertical="center"/>
    </xf>
    <xf numFmtId="10" fontId="9" fillId="0" borderId="0" xfId="0" applyNumberFormat="1" applyFont="1"/>
    <xf numFmtId="10" fontId="10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2" fontId="0" fillId="0" borderId="0" xfId="0" applyNumberFormat="1"/>
    <xf numFmtId="168" fontId="10" fillId="0" borderId="0" xfId="0" applyNumberFormat="1" applyFont="1"/>
    <xf numFmtId="168" fontId="1" fillId="0" borderId="0" xfId="0" applyNumberFormat="1" applyFont="1"/>
    <xf numFmtId="0" fontId="11" fillId="0" borderId="0" xfId="0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1" fillId="0" borderId="1" xfId="0" applyFont="1" applyBorder="1"/>
    <xf numFmtId="168" fontId="0" fillId="0" borderId="1" xfId="0" applyNumberFormat="1" applyBorder="1"/>
    <xf numFmtId="10" fontId="0" fillId="0" borderId="0" xfId="4" applyNumberFormat="1" applyFont="1"/>
    <xf numFmtId="169" fontId="0" fillId="0" borderId="0" xfId="0" applyNumberFormat="1"/>
    <xf numFmtId="0" fontId="12" fillId="0" borderId="0" xfId="0" applyFont="1"/>
    <xf numFmtId="170" fontId="0" fillId="0" borderId="0" xfId="0" applyNumberFormat="1"/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0" xfId="0" applyNumberFormat="1"/>
    <xf numFmtId="0" fontId="0" fillId="7" borderId="0" xfId="0" applyFill="1"/>
    <xf numFmtId="173" fontId="0" fillId="7" borderId="0" xfId="0" applyNumberFormat="1" applyFill="1" applyAlignment="1">
      <alignment horizontal="right"/>
    </xf>
    <xf numFmtId="10" fontId="0" fillId="7" borderId="0" xfId="0" applyNumberFormat="1" applyFill="1"/>
    <xf numFmtId="173" fontId="0" fillId="7" borderId="0" xfId="0" applyNumberFormat="1" applyFill="1"/>
    <xf numFmtId="0" fontId="1" fillId="0" borderId="2" xfId="0" applyFont="1" applyBorder="1"/>
    <xf numFmtId="17" fontId="0" fillId="0" borderId="2" xfId="0" applyNumberFormat="1" applyBorder="1"/>
    <xf numFmtId="10" fontId="1" fillId="0" borderId="0" xfId="4" applyNumberFormat="1" applyFont="1"/>
    <xf numFmtId="10" fontId="3" fillId="0" borderId="0" xfId="4" applyNumberFormat="1" applyFont="1"/>
    <xf numFmtId="17" fontId="1" fillId="0" borderId="0" xfId="0" applyNumberFormat="1" applyFont="1"/>
    <xf numFmtId="174" fontId="0" fillId="0" borderId="1" xfId="0" applyNumberFormat="1" applyBorder="1"/>
    <xf numFmtId="174" fontId="0" fillId="0" borderId="3" xfId="0" applyNumberFormat="1" applyBorder="1"/>
    <xf numFmtId="0" fontId="1" fillId="0" borderId="4" xfId="0" applyFont="1" applyBorder="1"/>
    <xf numFmtId="174" fontId="1" fillId="0" borderId="4" xfId="0" applyNumberFormat="1" applyFont="1" applyBorder="1"/>
    <xf numFmtId="174" fontId="0" fillId="0" borderId="0" xfId="0" applyNumberFormat="1"/>
    <xf numFmtId="174" fontId="1" fillId="0" borderId="1" xfId="0" applyNumberFormat="1" applyFont="1" applyBorder="1"/>
    <xf numFmtId="0" fontId="1" fillId="0" borderId="5" xfId="0" applyFont="1" applyBorder="1"/>
    <xf numFmtId="174" fontId="0" fillId="0" borderId="5" xfId="0" applyNumberFormat="1" applyBorder="1"/>
    <xf numFmtId="174" fontId="0" fillId="0" borderId="6" xfId="0" applyNumberFormat="1" applyBorder="1"/>
    <xf numFmtId="0" fontId="2" fillId="4" borderId="0" xfId="0" applyFont="1" applyFill="1"/>
    <xf numFmtId="17" fontId="2" fillId="4" borderId="0" xfId="0" applyNumberFormat="1" applyFont="1" applyFill="1"/>
    <xf numFmtId="0" fontId="0" fillId="0" borderId="1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175" fontId="0" fillId="0" borderId="1" xfId="0" applyNumberFormat="1" applyBorder="1"/>
    <xf numFmtId="175" fontId="0" fillId="0" borderId="6" xfId="0" applyNumberFormat="1" applyBorder="1"/>
    <xf numFmtId="175" fontId="1" fillId="0" borderId="7" xfId="0" applyNumberFormat="1" applyFont="1" applyBorder="1"/>
    <xf numFmtId="175" fontId="0" fillId="0" borderId="0" xfId="0" applyNumberFormat="1"/>
    <xf numFmtId="175" fontId="0" fillId="0" borderId="8" xfId="0" applyNumberFormat="1" applyBorder="1"/>
    <xf numFmtId="175" fontId="0" fillId="0" borderId="9" xfId="0" applyNumberFormat="1" applyBorder="1"/>
    <xf numFmtId="0" fontId="1" fillId="8" borderId="0" xfId="0" applyFont="1" applyFill="1"/>
    <xf numFmtId="10" fontId="1" fillId="8" borderId="0" xfId="0" applyNumberFormat="1" applyFont="1" applyFill="1"/>
    <xf numFmtId="177" fontId="0" fillId="0" borderId="1" xfId="0" applyNumberFormat="1" applyBorder="1"/>
    <xf numFmtId="10" fontId="13" fillId="0" borderId="1" xfId="4" applyNumberFormat="1" applyFont="1" applyBorder="1"/>
    <xf numFmtId="176" fontId="0" fillId="0" borderId="6" xfId="0" applyNumberFormat="1" applyBorder="1"/>
    <xf numFmtId="0" fontId="1" fillId="0" borderId="10" xfId="0" applyFont="1" applyBorder="1"/>
    <xf numFmtId="10" fontId="1" fillId="0" borderId="10" xfId="4" applyNumberFormat="1" applyFont="1" applyBorder="1"/>
    <xf numFmtId="0" fontId="14" fillId="0" borderId="0" xfId="0" applyFont="1"/>
    <xf numFmtId="0" fontId="0" fillId="0" borderId="11" xfId="0" applyBorder="1"/>
    <xf numFmtId="0" fontId="15" fillId="0" borderId="0" xfId="0" applyFont="1"/>
    <xf numFmtId="0" fontId="16" fillId="0" borderId="0" xfId="0" applyFont="1" applyAlignment="1">
      <alignment horizontal="left" wrapText="1"/>
    </xf>
    <xf numFmtId="0" fontId="1" fillId="10" borderId="0" xfId="0" applyFont="1" applyFill="1"/>
    <xf numFmtId="10" fontId="1" fillId="10" borderId="0" xfId="4" applyNumberFormat="1" applyFont="1" applyFill="1"/>
    <xf numFmtId="178" fontId="1" fillId="10" borderId="0" xfId="4" applyNumberFormat="1" applyFont="1" applyFill="1"/>
    <xf numFmtId="0" fontId="21" fillId="0" borderId="0" xfId="0" applyFont="1"/>
    <xf numFmtId="0" fontId="22" fillId="0" borderId="0" xfId="0" applyFont="1"/>
    <xf numFmtId="0" fontId="0" fillId="9" borderId="0" xfId="0" applyFill="1"/>
    <xf numFmtId="0" fontId="16" fillId="0" borderId="0" xfId="0" applyFont="1" applyAlignment="1">
      <alignment horizontal="left" wrapText="1"/>
    </xf>
    <xf numFmtId="0" fontId="19" fillId="9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1" fillId="0" borderId="0" xfId="0" applyFont="1" applyFill="1"/>
    <xf numFmtId="10" fontId="1" fillId="0" borderId="0" xfId="4" applyNumberFormat="1" applyFont="1" applyFill="1"/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1" fillId="10" borderId="0" xfId="0" quotePrefix="1" applyFont="1" applyFill="1"/>
    <xf numFmtId="170" fontId="1" fillId="10" borderId="0" xfId="0" applyNumberFormat="1" applyFont="1" applyFill="1"/>
    <xf numFmtId="0" fontId="0" fillId="0" borderId="0" xfId="0" applyFont="1" applyFill="1"/>
    <xf numFmtId="170" fontId="24" fillId="0" borderId="0" xfId="0" applyNumberFormat="1" applyFont="1" applyFill="1" applyAlignment="1">
      <alignment horizontal="right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16B32"/>
      <color rgb="FF1B7345"/>
      <color rgb="FFA8E6C0"/>
      <color rgb="FF87CB5D"/>
      <color rgb="FF218F55"/>
      <color rgb="FF254B29"/>
      <color rgb="FF81CC5C"/>
      <color rgb="FF27A563"/>
      <color rgb="FF00CC00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5-4F27-B3C0-0964DAF6ACA9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5-4F27-B3C0-0964DAF6ACA9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5-4F27-B3C0-0964DAF6ACA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'Altman''s Z Score'!$G$69:$J$69</c:f>
              <c:numCache>
                <c:formatCode>#,##0.0</c:formatCode>
                <c:ptCount val="4"/>
                <c:pt idx="0">
                  <c:v>329061.49</c:v>
                </c:pt>
                <c:pt idx="1">
                  <c:v>334674.43</c:v>
                </c:pt>
                <c:pt idx="2">
                  <c:v>369521</c:v>
                </c:pt>
                <c:pt idx="3">
                  <c:v>376973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5-4F27-B3C0-0964DAF6AC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18-460A-96D2-AB9CBAB01A71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18-460A-96D2-AB9CBAB01A71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18-460A-96D2-AB9CBAB01A71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Score'!$G$61:$J$61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'Altman''s Z Score'!$G$63:$J$63</c:f>
              <c:numCache>
                <c:formatCode>#,##0.0</c:formatCode>
                <c:ptCount val="4"/>
                <c:pt idx="0">
                  <c:v>329061.49</c:v>
                </c:pt>
                <c:pt idx="1">
                  <c:v>334674.43</c:v>
                </c:pt>
                <c:pt idx="2">
                  <c:v>369521</c:v>
                </c:pt>
                <c:pt idx="3">
                  <c:v>376973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18-460A-96D2-AB9CBAB01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68-4409-84E8-80EA76CB0AAD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68-4409-84E8-80EA76CB0AAD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68-4409-84E8-80EA76CB0AAD}"/>
              </c:ext>
            </c:extLst>
          </c:dPt>
          <c:dLbls>
            <c:numFmt formatCode="#,##0" sourceLinked="0"/>
            <c:spPr>
              <a:noFill/>
              <a:ln>
                <a:solidFill>
                  <a:schemeClr val="accent1">
                    <a:alpha val="89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'Altman''s Z Score'!$G$74:$J$74</c:f>
              <c:numCache>
                <c:formatCode>#,##0.0</c:formatCode>
                <c:ptCount val="4"/>
                <c:pt idx="0">
                  <c:v>329061.49</c:v>
                </c:pt>
                <c:pt idx="1">
                  <c:v>334674.43</c:v>
                </c:pt>
                <c:pt idx="2">
                  <c:v>369521</c:v>
                </c:pt>
                <c:pt idx="3">
                  <c:v>376973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68-4409-84E8-80EA76CB0A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1D-4FFC-9E79-B40A917A51FF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1D-4FFC-9E79-B40A917A51FF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1D-4FFC-9E79-B40A917A51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'Altman''s Z Score'!#REF!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1D-4FFC-9E79-B40A917A5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D-482F-82C0-4EC2EE17E729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D-482F-82C0-4EC2EE17E729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D-482F-82C0-4EC2EE17E7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Score'!$G$83:$J$83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'Altman''s Z Score'!$G$86:$J$86</c:f>
              <c:numCache>
                <c:formatCode>0.00%</c:formatCode>
                <c:ptCount val="4"/>
                <c:pt idx="0">
                  <c:v>0.84620543108827473</c:v>
                </c:pt>
                <c:pt idx="1">
                  <c:v>1.0337418666851841</c:v>
                </c:pt>
                <c:pt idx="2">
                  <c:v>1.1745367651635497</c:v>
                </c:pt>
                <c:pt idx="3">
                  <c:v>1.1663832688282716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D-482F-82C0-4EC2EE17E7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D-4ED3-B7D7-F6EA10804B1E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D-4ED3-B7D7-F6EA10804B1E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4D-4ED3-B7D7-F6EA10804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Score'!$G$80:$J$80</c:f>
              <c:numCache>
                <c:formatCode>0.00%</c:formatCode>
                <c:ptCount val="4"/>
                <c:pt idx="0">
                  <c:v>1.1341889489990136</c:v>
                </c:pt>
                <c:pt idx="1">
                  <c:v>1.2017474986823096</c:v>
                </c:pt>
                <c:pt idx="2">
                  <c:v>3.5472273599172133</c:v>
                </c:pt>
                <c:pt idx="3">
                  <c:v>3.4706257464941297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4D-4ED3-B7D7-F6EA10804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94-4499-8805-5A2B976C0C04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94-4499-8805-5A2B976C0C04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94-4499-8805-5A2B976C0C0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'Dupont Analysis'!$G$69:$J$69</c:f>
              <c:numCache>
                <c:formatCode>#,##0.0</c:formatCode>
                <c:ptCount val="4"/>
                <c:pt idx="0">
                  <c:v>278453.62</c:v>
                </c:pt>
                <c:pt idx="1">
                  <c:v>345966.97</c:v>
                </c:pt>
                <c:pt idx="2">
                  <c:v>434016</c:v>
                </c:pt>
                <c:pt idx="3">
                  <c:v>439695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4-4499-8805-5A2B976C0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82-4E4C-B109-CB6D77D3AE9C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82-4E4C-B109-CB6D77D3AE9C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82-4E4C-B109-CB6D77D3AE9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Analysis'!$G$61:$J$61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'Dupont Analysis'!$G$63:$J$63</c:f>
              <c:numCache>
                <c:formatCode>#,##0.0</c:formatCode>
                <c:ptCount val="4"/>
                <c:pt idx="0">
                  <c:v>49903.979999999996</c:v>
                </c:pt>
                <c:pt idx="1">
                  <c:v>44941.514999999999</c:v>
                </c:pt>
                <c:pt idx="2">
                  <c:v>65119.894999999997</c:v>
                </c:pt>
                <c:pt idx="3">
                  <c:v>100531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82-4E4C-B109-CB6D77D3AE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80-4E3F-9832-EF4A835EC6FA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80-4E3F-9832-EF4A835EC6FA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80-4E3F-9832-EF4A835EC6FA}"/>
              </c:ext>
            </c:extLst>
          </c:dPt>
          <c:dLbls>
            <c:numFmt formatCode="#,##0" sourceLinked="0"/>
            <c:spPr>
              <a:noFill/>
              <a:ln>
                <a:solidFill>
                  <a:schemeClr val="accent1">
                    <a:alpha val="89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'Dupont Analysis'!$G$73:$J$73</c:f>
              <c:numCache>
                <c:formatCode>#,##0.0</c:formatCode>
                <c:ptCount val="4"/>
                <c:pt idx="0">
                  <c:v>335315.69999999995</c:v>
                </c:pt>
                <c:pt idx="1">
                  <c:v>331867.96000000002</c:v>
                </c:pt>
                <c:pt idx="2">
                  <c:v>352097.71500000003</c:v>
                </c:pt>
                <c:pt idx="3">
                  <c:v>373247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80-4E3F-9832-EF4A835EC6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F7-43C1-8094-B20592AD940F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F7-43C1-8094-B20592AD940F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F7-43C1-8094-B20592AD94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Analysis'!$G$67:$J$67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'Dupont Analysis'!$G$80:$J$80</c:f>
              <c:numCache>
                <c:formatCode>0.00%</c:formatCode>
                <c:ptCount val="4"/>
                <c:pt idx="0">
                  <c:v>-0.20995860450408982</c:v>
                </c:pt>
                <c:pt idx="1">
                  <c:v>-0.30122126501520985</c:v>
                </c:pt>
                <c:pt idx="2">
                  <c:v>0.36675427686116513</c:v>
                </c:pt>
                <c:pt idx="3">
                  <c:v>0.21930548785946624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F7-43C1-8094-B20592AD94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B0-43C8-B6BF-153754ED4F8B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0-43C8-B6BF-153754ED4F8B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B0-43C8-B6BF-153754ED4F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Analysis'!$G$83:$J$83</c:f>
              <c:numCache>
                <c:formatCode>mmm\-yy</c:formatCode>
                <c:ptCount val="4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</c:numCache>
            </c:numRef>
          </c:cat>
          <c:val>
            <c:numRef>
              <c:f>'Dupont Analysis'!$G$86:$J$86</c:f>
              <c:numCache>
                <c:formatCode>0.00%</c:formatCode>
                <c:ptCount val="4"/>
                <c:pt idx="0">
                  <c:v>-3.1247478122855592E-2</c:v>
                </c:pt>
                <c:pt idx="1">
                  <c:v>-4.0791343641609835E-2</c:v>
                </c:pt>
                <c:pt idx="2">
                  <c:v>6.7830602081584077E-2</c:v>
                </c:pt>
                <c:pt idx="3">
                  <c:v>5.9068123789340572E-2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B0-43C8-B6BF-153754ED4F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76814286823124E-2"/>
          <c:y val="0.10008557622736831"/>
          <c:w val="0.88172048017929039"/>
          <c:h val="0.772580038769228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16B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6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80-4D1E-B648-03626D86FB6A}"/>
              </c:ext>
            </c:extLst>
          </c:dPt>
          <c:dPt>
            <c:idx val="1"/>
            <c:invertIfNegative val="0"/>
            <c:bubble3D val="0"/>
            <c:spPr>
              <a:solidFill>
                <a:srgbClr val="87CB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80-4D1E-B648-03626D86FB6A}"/>
              </c:ext>
            </c:extLst>
          </c:dPt>
          <c:dPt>
            <c:idx val="2"/>
            <c:invertIfNegative val="0"/>
            <c:bubble3D val="0"/>
            <c:spPr>
              <a:solidFill>
                <a:srgbClr val="218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80-4D1E-B648-03626D8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'Dupont Analysis'!$G$78:$J$78</c:f>
              <c:numCache>
                <c:formatCode>#,##0.0\ \x</c:formatCode>
                <c:ptCount val="4"/>
                <c:pt idx="0">
                  <c:v>6.7192175854510996</c:v>
                </c:pt>
                <c:pt idx="1">
                  <c:v>7.3844408672026303</c:v>
                </c:pt>
                <c:pt idx="2">
                  <c:v>5.4069146610264047</c:v>
                </c:pt>
                <c:pt idx="3">
                  <c:v>3.7127552695188548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0-4D1E-B648-03626D86FB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666464"/>
        <c:axId val="1711677984"/>
      </c:barChart>
      <c:dateAx>
        <c:axId val="17116664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77984"/>
        <c:crosses val="autoZero"/>
        <c:auto val="0"/>
        <c:lblOffset val="100"/>
        <c:baseTimeUnit val="years"/>
      </c:dateAx>
      <c:valAx>
        <c:axId val="1711677984"/>
        <c:scaling>
          <c:orientation val="minMax"/>
        </c:scaling>
        <c:delete val="1"/>
        <c:axPos val="l"/>
        <c:numFmt formatCode="#,##0.0\ \x" sourceLinked="1"/>
        <c:majorTickMark val="out"/>
        <c:minorTickMark val="none"/>
        <c:tickLblPos val="nextTo"/>
        <c:crossAx val="17116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2</xdr:row>
      <xdr:rowOff>118836</xdr:rowOff>
    </xdr:from>
    <xdr:to>
      <xdr:col>9</xdr:col>
      <xdr:colOff>266854</xdr:colOff>
      <xdr:row>3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A6EEF-9563-4541-89FE-490A0075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4955" y="492216"/>
          <a:ext cx="1988820" cy="502193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15</xdr:row>
      <xdr:rowOff>142875</xdr:rowOff>
    </xdr:from>
    <xdr:to>
      <xdr:col>1</xdr:col>
      <xdr:colOff>2171701</xdr:colOff>
      <xdr:row>27</xdr:row>
      <xdr:rowOff>57150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932DA57-22FB-4BF6-A4EF-B62543F89326}"/>
            </a:ext>
          </a:extLst>
        </xdr:cNvPr>
        <xdr:cNvGrpSpPr/>
      </xdr:nvGrpSpPr>
      <xdr:grpSpPr>
        <a:xfrm>
          <a:off x="76200" y="2888494"/>
          <a:ext cx="2228549" cy="2091418"/>
          <a:chOff x="0" y="2790825"/>
          <a:chExt cx="2228851" cy="2085975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46100C9-57F5-EB2A-F91C-D75908C013EA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E5D0DF4-8B8A-451B-D3E2-3CCF30931CE8}"/>
              </a:ext>
            </a:extLst>
          </xdr:cNvPr>
          <xdr:cNvSpPr txBox="1"/>
        </xdr:nvSpPr>
        <xdr:spPr>
          <a:xfrm>
            <a:off x="381000" y="2800350"/>
            <a:ext cx="12477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>
                <a:solidFill>
                  <a:srgbClr val="1B7345"/>
                </a:solidFill>
                <a:latin typeface="Calibri "/>
              </a:rPr>
              <a:t>Revenues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EAFA0C88-7EF3-9C23-C2F5-DF2A1E0C0B62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190500</xdr:colOff>
      <xdr:row>15</xdr:row>
      <xdr:rowOff>142875</xdr:rowOff>
    </xdr:from>
    <xdr:to>
      <xdr:col>5</xdr:col>
      <xdr:colOff>590551</xdr:colOff>
      <xdr:row>27</xdr:row>
      <xdr:rowOff>57150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EA85549-3C93-4781-9FC8-240898BE76F2}"/>
            </a:ext>
          </a:extLst>
        </xdr:cNvPr>
        <xdr:cNvGrpSpPr/>
      </xdr:nvGrpSpPr>
      <xdr:grpSpPr>
        <a:xfrm>
          <a:off x="2657929" y="2888494"/>
          <a:ext cx="2831193" cy="2091418"/>
          <a:chOff x="0" y="2790825"/>
          <a:chExt cx="2228851" cy="2085975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41BF94DA-DD80-6A80-4B19-75C8148D3503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C7D7076-8DCF-929B-AC5D-BD521275A3EA}"/>
              </a:ext>
            </a:extLst>
          </xdr:cNvPr>
          <xdr:cNvSpPr txBox="1"/>
        </xdr:nvSpPr>
        <xdr:spPr>
          <a:xfrm>
            <a:off x="495300" y="2790825"/>
            <a:ext cx="12477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 baseline="0">
                <a:solidFill>
                  <a:srgbClr val="1B7345"/>
                </a:solidFill>
                <a:latin typeface="Calibri "/>
              </a:rPr>
              <a:t>Net Profit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BF37CDCD-2054-5129-6C2E-6E94B29AF6F4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304800</xdr:colOff>
      <xdr:row>15</xdr:row>
      <xdr:rowOff>133349</xdr:rowOff>
    </xdr:from>
    <xdr:to>
      <xdr:col>9</xdr:col>
      <xdr:colOff>571500</xdr:colOff>
      <xdr:row>26</xdr:row>
      <xdr:rowOff>142874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211D322-F5E6-4397-BABD-4D61BCEDD74A}"/>
            </a:ext>
          </a:extLst>
        </xdr:cNvPr>
        <xdr:cNvGrpSpPr/>
      </xdr:nvGrpSpPr>
      <xdr:grpSpPr>
        <a:xfrm>
          <a:off x="5929086" y="2878968"/>
          <a:ext cx="2443843" cy="2005239"/>
          <a:chOff x="0" y="2780844"/>
          <a:chExt cx="2228851" cy="2095956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A75CA0D9-3408-4CDF-83A1-1E48EC919224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7BAC8657-4134-BDA6-80EB-CBFBA14FF84B}"/>
              </a:ext>
            </a:extLst>
          </xdr:cNvPr>
          <xdr:cNvSpPr txBox="1"/>
        </xdr:nvSpPr>
        <xdr:spPr>
          <a:xfrm>
            <a:off x="409575" y="2800350"/>
            <a:ext cx="138112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 baseline="0">
                <a:solidFill>
                  <a:srgbClr val="1B7345"/>
                </a:solidFill>
                <a:latin typeface="Calibri "/>
              </a:rPr>
              <a:t>Total Assets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1BA508BB-037A-9F9F-1B05-BADF989ADF2A}"/>
              </a:ext>
            </a:extLst>
          </xdr:cNvPr>
          <xdr:cNvCxnSpPr/>
        </xdr:nvCxnSpPr>
        <xdr:spPr>
          <a:xfrm flipV="1">
            <a:off x="28575" y="2780844"/>
            <a:ext cx="2129358" cy="1950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28</xdr:row>
      <xdr:rowOff>0</xdr:rowOff>
    </xdr:from>
    <xdr:to>
      <xdr:col>1</xdr:col>
      <xdr:colOff>2181225</xdr:colOff>
      <xdr:row>39</xdr:row>
      <xdr:rowOff>57150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B8EE676E-3256-45CF-93FF-6A28C5257B8A}"/>
            </a:ext>
          </a:extLst>
        </xdr:cNvPr>
        <xdr:cNvGrpSpPr/>
      </xdr:nvGrpSpPr>
      <xdr:grpSpPr>
        <a:xfrm>
          <a:off x="133048" y="5104190"/>
          <a:ext cx="2181225" cy="2052865"/>
          <a:chOff x="0" y="2790825"/>
          <a:chExt cx="2228851" cy="2085975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90C6CBA8-F06D-4AA2-AF11-8210E3AC567A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E7D41B3-1BF2-2259-9B67-FA834A53C44A}"/>
              </a:ext>
            </a:extLst>
          </xdr:cNvPr>
          <xdr:cNvSpPr txBox="1"/>
        </xdr:nvSpPr>
        <xdr:spPr>
          <a:xfrm>
            <a:off x="419100" y="2828925"/>
            <a:ext cx="14478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Return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on Equity (%)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02BA7A9D-A092-02C6-F292-79B4247C352D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209550</xdr:colOff>
      <xdr:row>28</xdr:row>
      <xdr:rowOff>9525</xdr:rowOff>
    </xdr:from>
    <xdr:to>
      <xdr:col>6</xdr:col>
      <xdr:colOff>38100</xdr:colOff>
      <xdr:row>39</xdr:row>
      <xdr:rowOff>114300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60C3AFD-BCC5-47E1-A970-9747191815DD}"/>
            </a:ext>
          </a:extLst>
        </xdr:cNvPr>
        <xdr:cNvGrpSpPr/>
      </xdr:nvGrpSpPr>
      <xdr:grpSpPr>
        <a:xfrm>
          <a:off x="2676979" y="5113715"/>
          <a:ext cx="2985407" cy="2100490"/>
          <a:chOff x="0" y="2790825"/>
          <a:chExt cx="2228851" cy="2085975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4656FA6F-9DB2-E9DB-3DE2-CF10B02EE2D8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282F497-0AA3-A58C-CBFA-1365ADFD7AA8}"/>
              </a:ext>
            </a:extLst>
          </xdr:cNvPr>
          <xdr:cNvSpPr txBox="1"/>
        </xdr:nvSpPr>
        <xdr:spPr>
          <a:xfrm>
            <a:off x="455606" y="2819400"/>
            <a:ext cx="1310829" cy="22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Return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on Asset (%)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46273A8-1537-498C-B608-96904C7DE2BE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266700</xdr:colOff>
      <xdr:row>28</xdr:row>
      <xdr:rowOff>0</xdr:rowOff>
    </xdr:from>
    <xdr:to>
      <xdr:col>9</xdr:col>
      <xdr:colOff>523875</xdr:colOff>
      <xdr:row>39</xdr:row>
      <xdr:rowOff>19050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79BF79A-947D-4415-A6A8-A1A49951CF7F}"/>
            </a:ext>
          </a:extLst>
        </xdr:cNvPr>
        <xdr:cNvGrpSpPr/>
      </xdr:nvGrpSpPr>
      <xdr:grpSpPr>
        <a:xfrm>
          <a:off x="5890986" y="5104190"/>
          <a:ext cx="2434318" cy="2014765"/>
          <a:chOff x="0" y="2790825"/>
          <a:chExt cx="2228851" cy="2085975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130D928E-E64F-F77A-BBF7-7F492798CDD4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26CC1CB1-B2D1-50D0-B7E7-E1A6C5BED8D8}"/>
              </a:ext>
            </a:extLst>
          </xdr:cNvPr>
          <xdr:cNvSpPr txBox="1"/>
        </xdr:nvSpPr>
        <xdr:spPr>
          <a:xfrm>
            <a:off x="507434" y="2819039"/>
            <a:ext cx="1344852" cy="27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Financial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Leverage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0A612AA-169C-36AD-395B-67B43AAF7F94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76200</xdr:colOff>
      <xdr:row>40</xdr:row>
      <xdr:rowOff>19050</xdr:rowOff>
    </xdr:from>
    <xdr:to>
      <xdr:col>9</xdr:col>
      <xdr:colOff>295275</xdr:colOff>
      <xdr:row>52</xdr:row>
      <xdr:rowOff>9525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6DC55D-B82D-4835-B8F6-200B0C6F02D5}"/>
            </a:ext>
          </a:extLst>
        </xdr:cNvPr>
        <xdr:cNvSpPr txBox="1"/>
      </xdr:nvSpPr>
      <xdr:spPr>
        <a:xfrm>
          <a:off x="205740" y="7334250"/>
          <a:ext cx="6825615" cy="2185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rgbClr val="1B7345"/>
              </a:solidFill>
            </a:rPr>
            <a:t>Recent</a:t>
          </a:r>
          <a:r>
            <a:rPr lang="en-IN" sz="1600" b="1" baseline="0">
              <a:solidFill>
                <a:srgbClr val="1B7345"/>
              </a:solidFill>
            </a:rPr>
            <a:t> Updates</a:t>
          </a:r>
        </a:p>
        <a:p>
          <a:endParaRPr lang="en-IN" sz="1600" b="1">
            <a:solidFill>
              <a:srgbClr val="1B7345"/>
            </a:solidFill>
          </a:endParaRPr>
        </a:p>
      </xdr:txBody>
    </xdr:sp>
    <xdr:clientData/>
  </xdr:twoCellAnchor>
  <xdr:twoCellAnchor>
    <xdr:from>
      <xdr:col>0</xdr:col>
      <xdr:colOff>114299</xdr:colOff>
      <xdr:row>56</xdr:row>
      <xdr:rowOff>66674</xdr:rowOff>
    </xdr:from>
    <xdr:to>
      <xdr:col>9</xdr:col>
      <xdr:colOff>600074</xdr:colOff>
      <xdr:row>58</xdr:row>
      <xdr:rowOff>104775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77AC2A-A328-45E0-884F-D487948F2721}"/>
            </a:ext>
          </a:extLst>
        </xdr:cNvPr>
        <xdr:cNvSpPr txBox="1"/>
      </xdr:nvSpPr>
      <xdr:spPr>
        <a:xfrm>
          <a:off x="114299" y="10323194"/>
          <a:ext cx="7221855" cy="419101"/>
        </a:xfrm>
        <a:prstGeom prst="rect">
          <a:avLst/>
        </a:prstGeom>
        <a:noFill/>
        <a:ln w="31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800" b="1">
              <a:solidFill>
                <a:srgbClr val="1B7345"/>
              </a:solidFill>
            </a:rPr>
            <a:t>Altman's Z Score Analysis Calculation</a:t>
          </a:r>
        </a:p>
      </xdr:txBody>
    </xdr:sp>
    <xdr:clientData/>
  </xdr:twoCellAnchor>
  <xdr:twoCellAnchor>
    <xdr:from>
      <xdr:col>1</xdr:col>
      <xdr:colOff>0</xdr:colOff>
      <xdr:row>6</xdr:row>
      <xdr:rowOff>22860</xdr:rowOff>
    </xdr:from>
    <xdr:to>
      <xdr:col>9</xdr:col>
      <xdr:colOff>601980</xdr:colOff>
      <xdr:row>7</xdr:row>
      <xdr:rowOff>152400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15A3E2C-E4B1-E133-0272-2047F03C9A42}"/>
            </a:ext>
          </a:extLst>
        </xdr:cNvPr>
        <xdr:cNvSpPr txBox="1"/>
      </xdr:nvSpPr>
      <xdr:spPr>
        <a:xfrm>
          <a:off x="129540" y="1493520"/>
          <a:ext cx="720852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rgbClr val="1B7345"/>
              </a:solidFill>
            </a:rPr>
            <a:t>Altman's</a:t>
          </a:r>
          <a:r>
            <a:rPr lang="en-IN" sz="2000" b="1" baseline="0">
              <a:solidFill>
                <a:srgbClr val="1B7345"/>
              </a:solidFill>
            </a:rPr>
            <a:t> Z Score Analysis</a:t>
          </a:r>
          <a:endParaRPr lang="en-IN" sz="2000" b="1">
            <a:solidFill>
              <a:srgbClr val="1B7345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2</xdr:row>
      <xdr:rowOff>118836</xdr:rowOff>
    </xdr:from>
    <xdr:to>
      <xdr:col>9</xdr:col>
      <xdr:colOff>607695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409E62-610D-980E-235B-7FE13BCCC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490311"/>
          <a:ext cx="1988820" cy="500288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15</xdr:row>
      <xdr:rowOff>142875</xdr:rowOff>
    </xdr:from>
    <xdr:to>
      <xdr:col>1</xdr:col>
      <xdr:colOff>2171701</xdr:colOff>
      <xdr:row>27</xdr:row>
      <xdr:rowOff>57150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40B4EF1-A816-B9FF-D02B-F4E9E6B3DFEF}"/>
            </a:ext>
          </a:extLst>
        </xdr:cNvPr>
        <xdr:cNvGrpSpPr/>
      </xdr:nvGrpSpPr>
      <xdr:grpSpPr>
        <a:xfrm>
          <a:off x="76200" y="2876550"/>
          <a:ext cx="2228851" cy="2085975"/>
          <a:chOff x="0" y="2790825"/>
          <a:chExt cx="2228851" cy="2085975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51104A09-394E-787E-0A2D-1C798CC1AAF7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8F41496-8B2D-0468-5F4D-5227256F86A1}"/>
              </a:ext>
            </a:extLst>
          </xdr:cNvPr>
          <xdr:cNvSpPr txBox="1"/>
        </xdr:nvSpPr>
        <xdr:spPr>
          <a:xfrm>
            <a:off x="381000" y="2800350"/>
            <a:ext cx="12477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>
                <a:solidFill>
                  <a:srgbClr val="1B7345"/>
                </a:solidFill>
                <a:latin typeface="Calibri "/>
              </a:rPr>
              <a:t>Revenues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33E29C51-150A-96AC-57A8-72209627B4CA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190500</xdr:colOff>
      <xdr:row>15</xdr:row>
      <xdr:rowOff>142875</xdr:rowOff>
    </xdr:from>
    <xdr:to>
      <xdr:col>5</xdr:col>
      <xdr:colOff>590551</xdr:colOff>
      <xdr:row>27</xdr:row>
      <xdr:rowOff>57150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A6B4922-EC16-4592-86CC-E6ACE25D0AC7}"/>
            </a:ext>
          </a:extLst>
        </xdr:cNvPr>
        <xdr:cNvGrpSpPr/>
      </xdr:nvGrpSpPr>
      <xdr:grpSpPr>
        <a:xfrm>
          <a:off x="2667000" y="2876550"/>
          <a:ext cx="2228851" cy="2085975"/>
          <a:chOff x="0" y="2790825"/>
          <a:chExt cx="2228851" cy="2085975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F49B4A0D-AF5C-07DB-284B-61E53C06C01E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373324F-3DEF-685C-7F47-246582D61117}"/>
              </a:ext>
            </a:extLst>
          </xdr:cNvPr>
          <xdr:cNvSpPr txBox="1"/>
        </xdr:nvSpPr>
        <xdr:spPr>
          <a:xfrm>
            <a:off x="495300" y="2790825"/>
            <a:ext cx="124777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 baseline="0">
                <a:solidFill>
                  <a:srgbClr val="1B7345"/>
                </a:solidFill>
                <a:latin typeface="Calibri "/>
              </a:rPr>
              <a:t>Net Profit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74519D04-539D-18A4-0871-95F33019BCEE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304800</xdr:colOff>
      <xdr:row>15</xdr:row>
      <xdr:rowOff>133349</xdr:rowOff>
    </xdr:from>
    <xdr:to>
      <xdr:col>9</xdr:col>
      <xdr:colOff>571500</xdr:colOff>
      <xdr:row>26</xdr:row>
      <xdr:rowOff>142874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4AEF81C-7AF1-452C-AC29-DFFC5FEB4A97}"/>
            </a:ext>
          </a:extLst>
        </xdr:cNvPr>
        <xdr:cNvGrpSpPr/>
      </xdr:nvGrpSpPr>
      <xdr:grpSpPr>
        <a:xfrm>
          <a:off x="5219700" y="2867024"/>
          <a:ext cx="2095500" cy="2000250"/>
          <a:chOff x="0" y="2780844"/>
          <a:chExt cx="2228851" cy="2095956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B463DC5F-0938-AC11-1ACF-7382D659EE0B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2127F958-917A-1DC4-B056-A7D55A0DF18F}"/>
              </a:ext>
            </a:extLst>
          </xdr:cNvPr>
          <xdr:cNvSpPr txBox="1"/>
        </xdr:nvSpPr>
        <xdr:spPr>
          <a:xfrm>
            <a:off x="409575" y="2800350"/>
            <a:ext cx="138112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050" b="1" baseline="0">
                <a:solidFill>
                  <a:srgbClr val="1B7345"/>
                </a:solidFill>
                <a:latin typeface="Calibri "/>
              </a:rPr>
              <a:t>Total Assets </a:t>
            </a:r>
            <a:r>
              <a:rPr lang="en-IN" sz="1050" b="1">
                <a:solidFill>
                  <a:srgbClr val="1B7345"/>
                </a:solidFill>
                <a:latin typeface="Calibri "/>
              </a:rPr>
              <a:t>(INR</a:t>
            </a:r>
            <a:r>
              <a:rPr lang="en-IN" sz="1050" b="1" baseline="0">
                <a:solidFill>
                  <a:srgbClr val="1B7345"/>
                </a:solidFill>
                <a:latin typeface="Calibri "/>
              </a:rPr>
              <a:t> Crs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5F402B16-DF85-97FC-AB7C-C4C2188BE522}"/>
              </a:ext>
            </a:extLst>
          </xdr:cNvPr>
          <xdr:cNvCxnSpPr/>
        </xdr:nvCxnSpPr>
        <xdr:spPr>
          <a:xfrm flipV="1">
            <a:off x="28575" y="2780844"/>
            <a:ext cx="2129358" cy="1950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28</xdr:row>
      <xdr:rowOff>0</xdr:rowOff>
    </xdr:from>
    <xdr:to>
      <xdr:col>1</xdr:col>
      <xdr:colOff>2181225</xdr:colOff>
      <xdr:row>39</xdr:row>
      <xdr:rowOff>57150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0B35560-BF41-4A9B-A039-CCEC22E5D162}"/>
            </a:ext>
          </a:extLst>
        </xdr:cNvPr>
        <xdr:cNvGrpSpPr/>
      </xdr:nvGrpSpPr>
      <xdr:grpSpPr>
        <a:xfrm>
          <a:off x="133350" y="5086350"/>
          <a:ext cx="2181225" cy="2047875"/>
          <a:chOff x="0" y="2790825"/>
          <a:chExt cx="2228851" cy="2085975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207E187-1683-F5A4-02AC-BC5A72C02153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E287577-BAE0-ACF5-DE0E-837C3D090E71}"/>
              </a:ext>
            </a:extLst>
          </xdr:cNvPr>
          <xdr:cNvSpPr txBox="1"/>
        </xdr:nvSpPr>
        <xdr:spPr>
          <a:xfrm>
            <a:off x="419100" y="2828925"/>
            <a:ext cx="14478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Return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on Equity (%)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8F3EFAA5-7EC4-7D30-D903-110C47A1DF2C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209550</xdr:colOff>
      <xdr:row>28</xdr:row>
      <xdr:rowOff>9525</xdr:rowOff>
    </xdr:from>
    <xdr:to>
      <xdr:col>6</xdr:col>
      <xdr:colOff>38100</xdr:colOff>
      <xdr:row>39</xdr:row>
      <xdr:rowOff>114300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0D2B426-7B6A-426F-90C9-E5F55BDE3D92}"/>
            </a:ext>
          </a:extLst>
        </xdr:cNvPr>
        <xdr:cNvGrpSpPr/>
      </xdr:nvGrpSpPr>
      <xdr:grpSpPr>
        <a:xfrm>
          <a:off x="2686050" y="5095875"/>
          <a:ext cx="2266950" cy="2095500"/>
          <a:chOff x="0" y="2790825"/>
          <a:chExt cx="2228851" cy="2085975"/>
        </a:xfrm>
      </xdr:grpSpPr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B653A5AD-C7AB-DF65-14C9-6EA35E87D685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FFEA7D01-D4CF-0797-CE25-F1302BE60D1E}"/>
              </a:ext>
            </a:extLst>
          </xdr:cNvPr>
          <xdr:cNvSpPr txBox="1"/>
        </xdr:nvSpPr>
        <xdr:spPr>
          <a:xfrm>
            <a:off x="455606" y="2819400"/>
            <a:ext cx="1310829" cy="22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Return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on Asset (%)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A151F84A-1CB5-5663-D125-75A1DBD7159B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266700</xdr:colOff>
      <xdr:row>28</xdr:row>
      <xdr:rowOff>0</xdr:rowOff>
    </xdr:from>
    <xdr:to>
      <xdr:col>9</xdr:col>
      <xdr:colOff>523875</xdr:colOff>
      <xdr:row>39</xdr:row>
      <xdr:rowOff>19050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903EC065-83F7-40B5-B70A-44B5EB9F9077}"/>
            </a:ext>
          </a:extLst>
        </xdr:cNvPr>
        <xdr:cNvGrpSpPr/>
      </xdr:nvGrpSpPr>
      <xdr:grpSpPr>
        <a:xfrm>
          <a:off x="5181600" y="5086350"/>
          <a:ext cx="2085975" cy="2009775"/>
          <a:chOff x="0" y="2790825"/>
          <a:chExt cx="2228851" cy="2085975"/>
        </a:xfrm>
      </xdr:grpSpPr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58A9449A-3384-177F-B583-4DB31F08618A}"/>
              </a:ext>
            </a:extLst>
          </xdr:cNvPr>
          <xdr:cNvGraphicFramePr/>
        </xdr:nvGraphicFramePr>
        <xdr:xfrm>
          <a:off x="0" y="2986088"/>
          <a:ext cx="2228851" cy="18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AC890A8-5C2A-6779-215B-A21AB6BF92FD}"/>
              </a:ext>
            </a:extLst>
          </xdr:cNvPr>
          <xdr:cNvSpPr txBox="1"/>
        </xdr:nvSpPr>
        <xdr:spPr>
          <a:xfrm>
            <a:off x="507434" y="2819039"/>
            <a:ext cx="1344852" cy="27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IN" sz="1100" b="1">
                <a:solidFill>
                  <a:srgbClr val="1B7345"/>
                </a:solidFill>
                <a:latin typeface="Calibri "/>
              </a:rPr>
              <a:t>Financial</a:t>
            </a:r>
            <a:r>
              <a:rPr lang="en-IN" sz="1100" b="1" baseline="0">
                <a:solidFill>
                  <a:srgbClr val="1B7345"/>
                </a:solidFill>
                <a:latin typeface="Calibri "/>
              </a:rPr>
              <a:t> Leverage</a:t>
            </a:r>
            <a:endParaRPr lang="en-IN" sz="1100" b="1">
              <a:solidFill>
                <a:srgbClr val="1B7345"/>
              </a:solidFill>
              <a:latin typeface="Calibri "/>
            </a:endParaRPr>
          </a:p>
        </xdr:txBody>
      </xdr: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CF877B24-427A-858A-D91C-20E8D4847200}"/>
              </a:ext>
            </a:extLst>
          </xdr:cNvPr>
          <xdr:cNvCxnSpPr/>
        </xdr:nvCxnSpPr>
        <xdr:spPr>
          <a:xfrm flipV="1">
            <a:off x="28575" y="2790825"/>
            <a:ext cx="2038350" cy="9525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76200</xdr:colOff>
      <xdr:row>40</xdr:row>
      <xdr:rowOff>19050</xdr:rowOff>
    </xdr:from>
    <xdr:to>
      <xdr:col>9</xdr:col>
      <xdr:colOff>295275</xdr:colOff>
      <xdr:row>52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60ED98-95C9-64D7-D544-D3E15FF4485F}"/>
            </a:ext>
          </a:extLst>
        </xdr:cNvPr>
        <xdr:cNvSpPr txBox="1"/>
      </xdr:nvSpPr>
      <xdr:spPr>
        <a:xfrm>
          <a:off x="209550" y="7086600"/>
          <a:ext cx="6829425" cy="2162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rgbClr val="1B7345"/>
              </a:solidFill>
            </a:rPr>
            <a:t>Recent</a:t>
          </a:r>
          <a:r>
            <a:rPr lang="en-IN" sz="1600" b="1" baseline="0">
              <a:solidFill>
                <a:srgbClr val="1B7345"/>
              </a:solidFill>
            </a:rPr>
            <a:t> Updates</a:t>
          </a:r>
        </a:p>
        <a:p>
          <a:endParaRPr lang="en-IN" sz="1600" b="1">
            <a:solidFill>
              <a:srgbClr val="1B7345"/>
            </a:solidFill>
          </a:endParaRPr>
        </a:p>
      </xdr:txBody>
    </xdr:sp>
    <xdr:clientData/>
  </xdr:twoCellAnchor>
  <xdr:twoCellAnchor>
    <xdr:from>
      <xdr:col>0</xdr:col>
      <xdr:colOff>114299</xdr:colOff>
      <xdr:row>56</xdr:row>
      <xdr:rowOff>66674</xdr:rowOff>
    </xdr:from>
    <xdr:to>
      <xdr:col>9</xdr:col>
      <xdr:colOff>600074</xdr:colOff>
      <xdr:row>58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70E268-B111-28CC-E154-471404DD4C40}"/>
            </a:ext>
          </a:extLst>
        </xdr:cNvPr>
        <xdr:cNvSpPr txBox="1"/>
      </xdr:nvSpPr>
      <xdr:spPr>
        <a:xfrm>
          <a:off x="114299" y="10239374"/>
          <a:ext cx="7229475" cy="485776"/>
        </a:xfrm>
        <a:prstGeom prst="rect">
          <a:avLst/>
        </a:prstGeom>
        <a:noFill/>
        <a:ln w="317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rgbClr val="1B7345"/>
              </a:solidFill>
            </a:rPr>
            <a:t>Dupont Analysis - Return on Equity</a:t>
          </a:r>
          <a:r>
            <a:rPr lang="en-IN" sz="1800" b="1" baseline="0">
              <a:solidFill>
                <a:srgbClr val="1B7345"/>
              </a:solidFill>
            </a:rPr>
            <a:t> &amp; Return on Asset</a:t>
          </a:r>
          <a:endParaRPr lang="en-IN" sz="1800" b="1">
            <a:solidFill>
              <a:srgbClr val="1B7345"/>
            </a:solidFill>
          </a:endParaRPr>
        </a:p>
      </xdr:txBody>
    </xdr:sp>
    <xdr:clientData/>
  </xdr:twoCellAnchor>
  <xdr:twoCellAnchor>
    <xdr:from>
      <xdr:col>1</xdr:col>
      <xdr:colOff>0</xdr:colOff>
      <xdr:row>100</xdr:row>
      <xdr:rowOff>0</xdr:rowOff>
    </xdr:from>
    <xdr:to>
      <xdr:col>10</xdr:col>
      <xdr:colOff>0</xdr:colOff>
      <xdr:row>112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EE653-061C-43FC-B67A-8D01C7195DEC}"/>
            </a:ext>
          </a:extLst>
        </xdr:cNvPr>
        <xdr:cNvSpPr txBox="1"/>
      </xdr:nvSpPr>
      <xdr:spPr>
        <a:xfrm>
          <a:off x="133350" y="18230850"/>
          <a:ext cx="721995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rgbClr val="1B7345"/>
              </a:solidFill>
            </a:rPr>
            <a:t>Dupont</a:t>
          </a:r>
          <a:r>
            <a:rPr lang="en-IN" sz="1600" b="1" baseline="0">
              <a:solidFill>
                <a:srgbClr val="1B7345"/>
              </a:solidFill>
            </a:rPr>
            <a:t> Summary</a:t>
          </a:r>
        </a:p>
        <a:p>
          <a:endParaRPr lang="en-IN" sz="1600" b="1">
            <a:solidFill>
              <a:srgbClr val="1B7345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y\OneDrive\Desktop\WACC%20Modelling.xlsx" TargetMode="External"/><Relationship Id="rId1" Type="http://schemas.openxmlformats.org/officeDocument/2006/relationships/externalLinkPath" Target="WACC%20Model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 &gt;"/>
      <sheetName val="WACC"/>
      <sheetName val="Beta regression"/>
      <sheetName val="Beta - Comps"/>
      <sheetName val="Intrinsic Growth"/>
      <sheetName val="Data Room&gt;"/>
      <sheetName val="Datasheet"/>
    </sheetNames>
    <sheetDataSet>
      <sheetData sheetId="0"/>
      <sheetData sheetId="1"/>
      <sheetData sheetId="2"/>
      <sheetData sheetId="3"/>
      <sheetData sheetId="4"/>
      <sheetData sheetId="5">
        <row r="1">
          <cell r="I1">
            <v>44256</v>
          </cell>
          <cell r="J1">
            <v>44621</v>
          </cell>
          <cell r="K1">
            <v>44986</v>
          </cell>
          <cell r="L1">
            <v>45352</v>
          </cell>
          <cell r="M1">
            <v>45717</v>
          </cell>
        </row>
        <row r="11">
          <cell r="A11" t="str">
            <v>Trade Payables</v>
          </cell>
          <cell r="I11">
            <v>3379</v>
          </cell>
          <cell r="J11">
            <v>4164</v>
          </cell>
          <cell r="K11">
            <v>3635</v>
          </cell>
          <cell r="L11">
            <v>3831</v>
          </cell>
          <cell r="M11">
            <v>3848</v>
          </cell>
        </row>
        <row r="12">
          <cell r="A12" t="str">
            <v>Advance from Customers</v>
          </cell>
          <cell r="I12">
            <v>41</v>
          </cell>
          <cell r="J12">
            <v>76</v>
          </cell>
          <cell r="K12">
            <v>108</v>
          </cell>
          <cell r="L12">
            <v>154</v>
          </cell>
          <cell r="M12">
            <v>173</v>
          </cell>
        </row>
        <row r="13">
          <cell r="A13" t="str">
            <v>Other liability items</v>
          </cell>
          <cell r="I13">
            <v>2613</v>
          </cell>
          <cell r="J13">
            <v>2932</v>
          </cell>
          <cell r="K13">
            <v>3657</v>
          </cell>
          <cell r="L13">
            <v>4017</v>
          </cell>
          <cell r="M13">
            <v>3985</v>
          </cell>
        </row>
        <row r="16">
          <cell r="A16" t="str">
            <v>Land</v>
          </cell>
          <cell r="I16">
            <v>644</v>
          </cell>
          <cell r="J16">
            <v>644</v>
          </cell>
          <cell r="K16">
            <v>804</v>
          </cell>
          <cell r="L16">
            <v>1126</v>
          </cell>
          <cell r="M16">
            <v>1050</v>
          </cell>
        </row>
        <row r="17">
          <cell r="A17" t="str">
            <v>Building</v>
          </cell>
          <cell r="I17">
            <v>2249</v>
          </cell>
          <cell r="J17">
            <v>2325</v>
          </cell>
          <cell r="K17">
            <v>2883</v>
          </cell>
          <cell r="L17">
            <v>3390</v>
          </cell>
          <cell r="M17">
            <v>4136</v>
          </cell>
        </row>
        <row r="18">
          <cell r="A18" t="str">
            <v>Plant Machinery</v>
          </cell>
          <cell r="I18">
            <v>4340</v>
          </cell>
          <cell r="J18">
            <v>4531</v>
          </cell>
          <cell r="K18">
            <v>4825</v>
          </cell>
          <cell r="L18">
            <v>5422</v>
          </cell>
          <cell r="M18">
            <v>7576</v>
          </cell>
        </row>
        <row r="19">
          <cell r="A19" t="str">
            <v>Equipments</v>
          </cell>
          <cell r="I19">
            <v>243</v>
          </cell>
          <cell r="J19">
            <v>253</v>
          </cell>
          <cell r="K19">
            <v>270</v>
          </cell>
          <cell r="L19">
            <v>298</v>
          </cell>
          <cell r="M19">
            <v>325</v>
          </cell>
        </row>
        <row r="20">
          <cell r="A20" t="str">
            <v>Furniture n fittings</v>
          </cell>
          <cell r="I20">
            <v>99</v>
          </cell>
          <cell r="J20">
            <v>113</v>
          </cell>
          <cell r="K20">
            <v>146</v>
          </cell>
          <cell r="L20">
            <v>175</v>
          </cell>
          <cell r="M20">
            <v>203</v>
          </cell>
        </row>
        <row r="21">
          <cell r="A21" t="str">
            <v>Vehicles</v>
          </cell>
          <cell r="I21">
            <v>38</v>
          </cell>
          <cell r="J21">
            <v>32</v>
          </cell>
          <cell r="K21">
            <v>36</v>
          </cell>
          <cell r="L21">
            <v>40</v>
          </cell>
          <cell r="M21">
            <v>39</v>
          </cell>
        </row>
        <row r="22">
          <cell r="A22" t="str">
            <v>Intangible Assets</v>
          </cell>
          <cell r="I22">
            <v>476</v>
          </cell>
          <cell r="J22">
            <v>345</v>
          </cell>
          <cell r="K22">
            <v>422</v>
          </cell>
          <cell r="L22">
            <v>850</v>
          </cell>
          <cell r="M22">
            <v>827</v>
          </cell>
        </row>
        <row r="23">
          <cell r="A23" t="str">
            <v>Other fixed assets</v>
          </cell>
          <cell r="I23">
            <v>302</v>
          </cell>
          <cell r="J23">
            <v>294</v>
          </cell>
          <cell r="K23">
            <v>289</v>
          </cell>
          <cell r="L23">
            <v>321</v>
          </cell>
          <cell r="M23">
            <v>328</v>
          </cell>
        </row>
        <row r="25">
          <cell r="B25">
            <v>1242</v>
          </cell>
          <cell r="C25">
            <v>1452</v>
          </cell>
          <cell r="D25">
            <v>327</v>
          </cell>
          <cell r="E25">
            <v>610</v>
          </cell>
          <cell r="F25">
            <v>973</v>
          </cell>
        </row>
        <row r="32">
          <cell r="A32" t="str">
            <v>Inventories</v>
          </cell>
          <cell r="I32">
            <v>3799</v>
          </cell>
          <cell r="J32">
            <v>6153</v>
          </cell>
          <cell r="K32">
            <v>6211</v>
          </cell>
          <cell r="L32">
            <v>5923</v>
          </cell>
          <cell r="M32">
            <v>6719</v>
          </cell>
        </row>
        <row r="33">
          <cell r="A33" t="str">
            <v>Trade receivables -</v>
          </cell>
          <cell r="I33">
            <v>2602</v>
          </cell>
          <cell r="J33">
            <v>3871</v>
          </cell>
          <cell r="K33">
            <v>4637</v>
          </cell>
          <cell r="L33">
            <v>4889</v>
          </cell>
          <cell r="M33">
            <v>4314</v>
          </cell>
        </row>
        <row r="34">
          <cell r="A34" t="str">
            <v>Prov for Doubtful</v>
          </cell>
          <cell r="I34">
            <v>-185</v>
          </cell>
          <cell r="J34">
            <v>-241</v>
          </cell>
          <cell r="K34">
            <v>-305</v>
          </cell>
          <cell r="L34">
            <v>-422</v>
          </cell>
          <cell r="M34">
            <v>-663</v>
          </cell>
        </row>
        <row r="36">
          <cell r="A36" t="str">
            <v>Loans n Advances</v>
          </cell>
          <cell r="I36">
            <v>11</v>
          </cell>
          <cell r="J36">
            <v>8</v>
          </cell>
          <cell r="K36">
            <v>12</v>
          </cell>
          <cell r="L36">
            <v>17</v>
          </cell>
          <cell r="M36">
            <v>22</v>
          </cell>
        </row>
        <row r="37">
          <cell r="A37" t="str">
            <v>Other asset items</v>
          </cell>
          <cell r="I37">
            <v>2555</v>
          </cell>
          <cell r="J37">
            <v>2869</v>
          </cell>
          <cell r="K37">
            <v>3024</v>
          </cell>
          <cell r="L37">
            <v>3555</v>
          </cell>
          <cell r="M37">
            <v>3319</v>
          </cell>
        </row>
      </sheetData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297D-60E5-4174-B570-7AFB11446866}">
  <sheetPr>
    <tabColor rgb="FF0275D8"/>
  </sheetPr>
  <dimension ref="M2:N2"/>
  <sheetViews>
    <sheetView showGridLines="0" workbookViewId="0">
      <selection activeCell="E24" sqref="E24"/>
    </sheetView>
  </sheetViews>
  <sheetFormatPr defaultRowHeight="14.4" x14ac:dyDescent="0.3"/>
  <sheetData>
    <row r="2" spans="13:14" x14ac:dyDescent="0.3">
      <c r="M2" s="14"/>
      <c r="N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5687-9EA7-4B64-9F63-7DC93F9030AF}">
  <dimension ref="B2:J93"/>
  <sheetViews>
    <sheetView showGridLines="0" tabSelected="1" zoomScale="63" zoomScaleNormal="100" zoomScalePageLayoutView="56" workbookViewId="0">
      <selection activeCell="M38" sqref="M38"/>
    </sheetView>
  </sheetViews>
  <sheetFormatPr defaultRowHeight="14.4" x14ac:dyDescent="0.3"/>
  <cols>
    <col min="1" max="1" width="1.88671875" customWidth="1"/>
    <col min="2" max="2" width="34.109375" customWidth="1"/>
    <col min="4" max="4" width="16.109375" bestFit="1" customWidth="1"/>
    <col min="5" max="10" width="10.5546875" bestFit="1" customWidth="1"/>
  </cols>
  <sheetData>
    <row r="2" spans="2:10" ht="15" customHeight="1" x14ac:dyDescent="0.3">
      <c r="B2" s="93"/>
      <c r="C2" s="93"/>
      <c r="D2" s="93"/>
      <c r="E2" s="93"/>
      <c r="F2" s="93"/>
      <c r="G2" s="93"/>
      <c r="H2" s="93"/>
      <c r="I2" s="93"/>
      <c r="J2" s="93"/>
    </row>
    <row r="3" spans="2:10" ht="35.4" customHeight="1" x14ac:dyDescent="0.7">
      <c r="B3" s="84" t="s">
        <v>217</v>
      </c>
    </row>
    <row r="4" spans="2:10" x14ac:dyDescent="0.3">
      <c r="B4" t="s">
        <v>218</v>
      </c>
    </row>
    <row r="5" spans="2:10" ht="23.4" customHeight="1" x14ac:dyDescent="0.45">
      <c r="B5" s="91" t="s">
        <v>219</v>
      </c>
    </row>
    <row r="6" spans="2:10" ht="13.2" customHeight="1" thickBot="1" x14ac:dyDescent="0.35">
      <c r="B6" t="s">
        <v>220</v>
      </c>
    </row>
    <row r="7" spans="2:10" ht="8.4" customHeight="1" thickTop="1" x14ac:dyDescent="0.3">
      <c r="B7" s="85"/>
      <c r="C7" s="85"/>
      <c r="D7" s="85"/>
      <c r="E7" s="85"/>
      <c r="F7" s="85"/>
      <c r="G7" s="85"/>
      <c r="H7" s="85"/>
      <c r="I7" s="85"/>
      <c r="J7" s="85"/>
    </row>
    <row r="8" spans="2:10" s="86" customFormat="1" ht="17.399999999999999" customHeight="1" x14ac:dyDescent="0.4">
      <c r="B8" s="92"/>
    </row>
    <row r="9" spans="2:10" hidden="1" x14ac:dyDescent="0.3">
      <c r="B9" s="94" t="s">
        <v>222</v>
      </c>
      <c r="C9" s="94"/>
      <c r="D9" s="94"/>
      <c r="E9" s="94"/>
      <c r="F9" s="94"/>
      <c r="G9" s="94"/>
      <c r="H9" s="94"/>
      <c r="I9" s="94"/>
      <c r="J9" s="94"/>
    </row>
    <row r="10" spans="2:10" x14ac:dyDescent="0.3">
      <c r="B10" s="94"/>
      <c r="C10" s="94"/>
      <c r="D10" s="94"/>
      <c r="E10" s="94"/>
      <c r="F10" s="94"/>
      <c r="G10" s="94"/>
      <c r="H10" s="94"/>
      <c r="I10" s="94"/>
      <c r="J10" s="94"/>
    </row>
    <row r="11" spans="2:10" x14ac:dyDescent="0.3">
      <c r="B11" s="94"/>
      <c r="C11" s="94"/>
      <c r="D11" s="94"/>
      <c r="E11" s="94"/>
      <c r="F11" s="94"/>
      <c r="G11" s="94"/>
      <c r="H11" s="94"/>
      <c r="I11" s="94"/>
      <c r="J11" s="94"/>
    </row>
    <row r="12" spans="2:10" x14ac:dyDescent="0.3">
      <c r="B12" s="94"/>
      <c r="C12" s="94"/>
      <c r="D12" s="94"/>
      <c r="E12" s="94"/>
      <c r="F12" s="94"/>
      <c r="G12" s="94"/>
      <c r="H12" s="94"/>
      <c r="I12" s="94"/>
      <c r="J12" s="94"/>
    </row>
    <row r="13" spans="2:10" ht="6.6" customHeight="1" x14ac:dyDescent="0.3">
      <c r="B13" s="87"/>
      <c r="C13" s="87"/>
      <c r="D13" s="87"/>
      <c r="E13" s="87"/>
      <c r="F13" s="87"/>
      <c r="G13" s="87"/>
      <c r="H13" s="87"/>
      <c r="I13" s="87"/>
      <c r="J13" s="87"/>
    </row>
    <row r="14" spans="2:10" ht="18.600000000000001" customHeight="1" x14ac:dyDescent="0.35">
      <c r="B14" s="92" t="s">
        <v>239</v>
      </c>
    </row>
    <row r="15" spans="2:10" ht="6" customHeight="1" x14ac:dyDescent="0.3"/>
    <row r="53" spans="2:10" ht="15" customHeight="1" x14ac:dyDescent="0.3"/>
    <row r="54" spans="2:10" x14ac:dyDescent="0.3">
      <c r="B54" s="93"/>
      <c r="C54" s="93"/>
      <c r="D54" s="93"/>
      <c r="E54" s="93"/>
      <c r="F54" s="93"/>
      <c r="G54" s="93"/>
      <c r="H54" s="93"/>
      <c r="I54" s="93"/>
      <c r="J54" s="93"/>
    </row>
    <row r="55" spans="2:10" ht="4.8" customHeight="1" x14ac:dyDescent="0.3"/>
    <row r="56" spans="2:10" ht="15" customHeight="1" x14ac:dyDescent="0.3">
      <c r="B56" s="93"/>
      <c r="C56" s="93"/>
      <c r="D56" s="93"/>
      <c r="E56" s="93"/>
      <c r="F56" s="93"/>
      <c r="G56" s="93"/>
      <c r="H56" s="93"/>
      <c r="I56" s="93"/>
      <c r="J56" s="93"/>
    </row>
    <row r="57" spans="2:10" ht="15" customHeight="1" x14ac:dyDescent="0.3"/>
    <row r="58" spans="2:10" ht="15" customHeight="1" x14ac:dyDescent="0.3"/>
    <row r="60" spans="2:10" ht="15.6" x14ac:dyDescent="0.3">
      <c r="B60" s="95" t="s">
        <v>240</v>
      </c>
      <c r="C60" s="96"/>
      <c r="D60" s="96"/>
      <c r="E60" s="96"/>
      <c r="F60" s="96"/>
      <c r="G60" s="96"/>
      <c r="H60" s="96"/>
      <c r="I60" s="96"/>
      <c r="J60" s="96"/>
    </row>
    <row r="61" spans="2:10" x14ac:dyDescent="0.3">
      <c r="D61" s="51">
        <v>43525</v>
      </c>
      <c r="E61" s="51">
        <v>43891</v>
      </c>
      <c r="F61" s="51">
        <v>44256</v>
      </c>
      <c r="G61" s="51">
        <v>44621</v>
      </c>
      <c r="H61" s="51">
        <v>44986</v>
      </c>
      <c r="I61" s="51">
        <v>45352</v>
      </c>
      <c r="J61" s="51">
        <v>45717</v>
      </c>
    </row>
    <row r="62" spans="2:10" x14ac:dyDescent="0.3">
      <c r="B62" t="s">
        <v>241</v>
      </c>
      <c r="D62" s="74">
        <f>'Data Sheet'!E65-'Data Sheet'!E60</f>
        <v>7465.8699999999953</v>
      </c>
      <c r="E62" s="74">
        <f>'Data Sheet'!F65-'Data Sheet'!F60</f>
        <v>8828.2600000000093</v>
      </c>
      <c r="F62" s="74">
        <f>'Data Sheet'!G65-'Data Sheet'!G60</f>
        <v>13085.470000000001</v>
      </c>
      <c r="G62" s="74">
        <f>'Data Sheet'!H65-'Data Sheet'!H60</f>
        <v>12524.200000000012</v>
      </c>
      <c r="H62" s="74">
        <f>'Data Sheet'!I65-'Data Sheet'!I60</f>
        <v>6701.8099999999977</v>
      </c>
      <c r="I62" s="74">
        <f>'Data Sheet'!J65-'Data Sheet'!J60</f>
        <v>12228</v>
      </c>
      <c r="J62" s="74">
        <f>'Data Sheet'!K65-'Data Sheet'!K60</f>
        <v>-29475</v>
      </c>
    </row>
    <row r="63" spans="2:10" x14ac:dyDescent="0.3">
      <c r="B63" t="s">
        <v>79</v>
      </c>
      <c r="D63" s="74">
        <f>'Data Sheet'!E66</f>
        <v>305703.49</v>
      </c>
      <c r="E63" s="74">
        <f>'Data Sheet'!F66</f>
        <v>320179.39</v>
      </c>
      <c r="F63" s="74">
        <f>'Data Sheet'!G66</f>
        <v>341569.91</v>
      </c>
      <c r="G63" s="74">
        <f>'Data Sheet'!H66</f>
        <v>329061.49</v>
      </c>
      <c r="H63" s="74">
        <f>'Data Sheet'!I66</f>
        <v>334674.43</v>
      </c>
      <c r="I63" s="74">
        <f>'Data Sheet'!J66</f>
        <v>369521</v>
      </c>
      <c r="J63" s="74">
        <f>'Data Sheet'!K66</f>
        <v>376973</v>
      </c>
    </row>
    <row r="64" spans="2:10" x14ac:dyDescent="0.3">
      <c r="B64" s="88" t="s">
        <v>250</v>
      </c>
      <c r="C64" s="88"/>
      <c r="D64" s="89">
        <f>D62/D63</f>
        <v>2.4421932507214739E-2</v>
      </c>
      <c r="E64" s="89">
        <f t="shared" ref="E64:J64" si="0">E62/E63</f>
        <v>2.7572855329632582E-2</v>
      </c>
      <c r="F64" s="89">
        <f t="shared" si="0"/>
        <v>3.8309785542877596E-2</v>
      </c>
      <c r="G64" s="89">
        <f t="shared" si="0"/>
        <v>3.8060363733234209E-2</v>
      </c>
      <c r="H64" s="89">
        <f t="shared" si="0"/>
        <v>2.002486416425658E-2</v>
      </c>
      <c r="I64" s="89">
        <f t="shared" si="0"/>
        <v>3.3091488711061073E-2</v>
      </c>
      <c r="J64" s="89">
        <f t="shared" si="0"/>
        <v>-7.8188623588426751E-2</v>
      </c>
    </row>
    <row r="66" spans="2:10" ht="15.6" x14ac:dyDescent="0.3">
      <c r="B66" s="95" t="s">
        <v>242</v>
      </c>
      <c r="C66" s="96"/>
      <c r="D66" s="96"/>
      <c r="E66" s="96"/>
      <c r="F66" s="96"/>
      <c r="G66" s="96"/>
      <c r="H66" s="96"/>
      <c r="I66" s="96"/>
      <c r="J66" s="96"/>
    </row>
    <row r="67" spans="2:10" x14ac:dyDescent="0.3">
      <c r="D67" s="51">
        <v>43525</v>
      </c>
      <c r="E67" s="51">
        <v>43891</v>
      </c>
      <c r="F67" s="51">
        <v>44256</v>
      </c>
      <c r="G67" s="51">
        <v>44621</v>
      </c>
      <c r="H67" s="51">
        <v>44986</v>
      </c>
      <c r="I67" s="51">
        <v>45352</v>
      </c>
      <c r="J67" s="51">
        <v>45717</v>
      </c>
    </row>
    <row r="68" spans="2:10" x14ac:dyDescent="0.3">
      <c r="B68" t="s">
        <v>243</v>
      </c>
      <c r="D68" s="74">
        <f>'Historical FS'!F34*'Historical FS'!F36*'Historical FS'!F42</f>
        <v>1859.1100000000176</v>
      </c>
      <c r="E68" s="74">
        <f>'Historical FS'!G34*'Historical FS'!G36*'Historical FS'!G42</f>
        <v>0</v>
      </c>
      <c r="F68" s="74">
        <f>'Historical FS'!H34*'Historical FS'!H36*'Historical FS'!H42</f>
        <v>7470.010000000002</v>
      </c>
      <c r="G68" s="74">
        <f>'Historical FS'!I34*'Historical FS'!I36*'Historical FS'!I42</f>
        <v>0</v>
      </c>
      <c r="H68" s="74">
        <f>'Historical FS'!J34*'Historical FS'!J36*'Historical FS'!J42</f>
        <v>0</v>
      </c>
      <c r="I68" s="74">
        <f>'Historical FS'!K34*'Historical FS'!K36*'Historical FS'!K42</f>
        <v>21582</v>
      </c>
      <c r="J68" s="74">
        <f>'Historical FS'!L34*'Historical FS'!L36*'Historical FS'!L42</f>
        <v>19839</v>
      </c>
    </row>
    <row r="69" spans="2:10" x14ac:dyDescent="0.3">
      <c r="B69" t="s">
        <v>79</v>
      </c>
      <c r="D69" s="74">
        <f>D63</f>
        <v>305703.49</v>
      </c>
      <c r="E69" s="74">
        <f t="shared" ref="E69:J69" si="1">E63</f>
        <v>320179.39</v>
      </c>
      <c r="F69" s="74">
        <f t="shared" si="1"/>
        <v>341569.91</v>
      </c>
      <c r="G69" s="74">
        <f t="shared" si="1"/>
        <v>329061.49</v>
      </c>
      <c r="H69" s="74">
        <f t="shared" si="1"/>
        <v>334674.43</v>
      </c>
      <c r="I69" s="74">
        <f t="shared" si="1"/>
        <v>369521</v>
      </c>
      <c r="J69" s="74">
        <f t="shared" si="1"/>
        <v>376973</v>
      </c>
    </row>
    <row r="70" spans="2:10" x14ac:dyDescent="0.3">
      <c r="B70" s="107" t="str">
        <f>_xlfn.CONCAT(B66," ","(B)")</f>
        <v>Retained Earnings / Total Assets (B)</v>
      </c>
      <c r="C70" s="88"/>
      <c r="D70" s="89">
        <f>D68/D69</f>
        <v>6.0814156881232127E-3</v>
      </c>
      <c r="E70" s="89">
        <f t="shared" ref="E70:J70" si="2">E68/E69</f>
        <v>0</v>
      </c>
      <c r="F70" s="89">
        <f t="shared" si="2"/>
        <v>2.1869637170323353E-2</v>
      </c>
      <c r="G70" s="89">
        <f t="shared" si="2"/>
        <v>0</v>
      </c>
      <c r="H70" s="89">
        <f t="shared" si="2"/>
        <v>0</v>
      </c>
      <c r="I70" s="89">
        <f t="shared" si="2"/>
        <v>5.840534096844293E-2</v>
      </c>
      <c r="J70" s="89">
        <f t="shared" si="2"/>
        <v>5.2627111225472381E-2</v>
      </c>
    </row>
    <row r="71" spans="2:10" x14ac:dyDescent="0.3">
      <c r="B71" s="102"/>
      <c r="C71" s="102"/>
      <c r="D71" s="103"/>
      <c r="E71" s="103"/>
      <c r="F71" s="103"/>
      <c r="G71" s="103"/>
      <c r="H71" s="103"/>
      <c r="I71" s="103"/>
      <c r="J71" s="103"/>
    </row>
    <row r="72" spans="2:10" ht="15.6" x14ac:dyDescent="0.3">
      <c r="B72" s="95" t="s">
        <v>244</v>
      </c>
      <c r="C72" s="104"/>
      <c r="D72" s="104"/>
      <c r="E72" s="104"/>
      <c r="F72" s="104"/>
      <c r="G72" s="104"/>
      <c r="H72" s="104"/>
      <c r="I72" s="104"/>
      <c r="J72" s="104"/>
    </row>
    <row r="73" spans="2:10" x14ac:dyDescent="0.3">
      <c r="B73" t="s">
        <v>204</v>
      </c>
      <c r="D73" s="74">
        <f>'Historical FS'!E16-'Historical FS'!E22</f>
        <v>5810.9300000000185</v>
      </c>
      <c r="E73" s="74">
        <f>'Historical FS'!F16-'Historical FS'!F22</f>
        <v>5180.2600000000202</v>
      </c>
      <c r="F73" s="74">
        <f>'Historical FS'!G16-'Historical FS'!G22</f>
        <v>1024.0199999999677</v>
      </c>
      <c r="G73" s="74">
        <f>'Historical FS'!H16-'Historical FS'!H22</f>
        <v>18109.04</v>
      </c>
      <c r="H73" s="74">
        <f>'Historical FS'!I16-'Historical FS'!I22</f>
        <v>3065.3799999999974</v>
      </c>
      <c r="I73" s="74">
        <f>'Historical FS'!J16-'Historical FS'!J22</f>
        <v>-2607.800000000032</v>
      </c>
      <c r="J73" s="74">
        <f>'Historical FS'!K16-'Historical FS'!K22</f>
        <v>27453</v>
      </c>
    </row>
    <row r="74" spans="2:10" x14ac:dyDescent="0.3">
      <c r="B74" t="s">
        <v>229</v>
      </c>
      <c r="D74" s="74">
        <f>D63</f>
        <v>305703.49</v>
      </c>
      <c r="E74" s="74">
        <f t="shared" ref="E74:J74" si="3">E63</f>
        <v>320179.39</v>
      </c>
      <c r="F74" s="74">
        <f t="shared" si="3"/>
        <v>341569.91</v>
      </c>
      <c r="G74" s="74">
        <f t="shared" si="3"/>
        <v>329061.49</v>
      </c>
      <c r="H74" s="74">
        <f t="shared" si="3"/>
        <v>334674.43</v>
      </c>
      <c r="I74" s="74">
        <f t="shared" si="3"/>
        <v>369521</v>
      </c>
      <c r="J74" s="74">
        <f t="shared" si="3"/>
        <v>376973</v>
      </c>
    </row>
    <row r="75" spans="2:10" x14ac:dyDescent="0.3">
      <c r="B75" s="88" t="str">
        <f>_xlfn.CONCAT(B72," ","(C)")</f>
        <v>EBIT / Total Assets (C)</v>
      </c>
      <c r="C75" s="88"/>
      <c r="D75" s="89">
        <f t="shared" ref="D75:I75" si="4">D73/D74</f>
        <v>1.9008386198011734E-2</v>
      </c>
      <c r="E75" s="89">
        <f t="shared" si="4"/>
        <v>1.6179242517764869E-2</v>
      </c>
      <c r="F75" s="89">
        <f t="shared" si="4"/>
        <v>2.9979807062043835E-3</v>
      </c>
      <c r="G75" s="89">
        <f t="shared" si="4"/>
        <v>5.5032389235215584E-2</v>
      </c>
      <c r="H75" s="89">
        <f t="shared" si="4"/>
        <v>9.1592895220587878E-3</v>
      </c>
      <c r="I75" s="89">
        <f t="shared" si="4"/>
        <v>-7.0572443785333772E-3</v>
      </c>
      <c r="J75" s="89">
        <f>J73/J74</f>
        <v>7.282484421961255E-2</v>
      </c>
    </row>
    <row r="77" spans="2:10" ht="15.6" x14ac:dyDescent="0.3">
      <c r="B77" s="95" t="s">
        <v>245</v>
      </c>
      <c r="C77" s="105"/>
      <c r="D77" s="105"/>
      <c r="E77" s="105"/>
      <c r="F77" s="105"/>
      <c r="G77" s="105"/>
      <c r="H77" s="105"/>
      <c r="I77" s="105"/>
      <c r="J77" s="105"/>
    </row>
    <row r="78" spans="2:10" x14ac:dyDescent="0.3">
      <c r="B78" t="s">
        <v>246</v>
      </c>
      <c r="D78" s="74">
        <f>('Data Sheet'!E90*'Data Sheet'!E70)/10000000</f>
        <v>59177.055028575</v>
      </c>
      <c r="E78" s="74">
        <f>('Data Sheet'!F90*'Data Sheet'!F70)/10000000</f>
        <v>25561.844544424999</v>
      </c>
      <c r="F78" s="74">
        <f>('Data Sheet'!G90*'Data Sheet'!G70)/10000000</f>
        <v>115561.05074898001</v>
      </c>
      <c r="G78" s="74">
        <f>('Data Sheet'!H90*'Data Sheet'!H70)/10000000</f>
        <v>166100.87141762499</v>
      </c>
      <c r="H78" s="74">
        <f>('Data Sheet'!I90*'Data Sheet'!I70)/10000000</f>
        <v>161170.49105968</v>
      </c>
      <c r="I78" s="74">
        <f>('Data Sheet'!J90*'Data Sheet'!J70)/10000000</f>
        <v>380489.79553415999</v>
      </c>
      <c r="J78" s="74">
        <f>('Data Sheet'!K90*'Data Sheet'!K70)/10000000</f>
        <v>248288.56590419004</v>
      </c>
    </row>
    <row r="79" spans="2:10" x14ac:dyDescent="0.3">
      <c r="B79" t="s">
        <v>247</v>
      </c>
      <c r="D79" s="74">
        <f>'Data Sheet'!E59</f>
        <v>106175.34</v>
      </c>
      <c r="E79" s="74">
        <f>'Data Sheet'!F59</f>
        <v>124787.64</v>
      </c>
      <c r="F79" s="74">
        <f>'Data Sheet'!G59</f>
        <v>142130.57</v>
      </c>
      <c r="G79" s="74">
        <f>'Data Sheet'!H59</f>
        <v>146449.03</v>
      </c>
      <c r="H79" s="74">
        <f>'Data Sheet'!I59</f>
        <v>134113.44</v>
      </c>
      <c r="I79" s="74">
        <f>'Data Sheet'!J59</f>
        <v>107264</v>
      </c>
      <c r="J79" s="74">
        <f>'Data Sheet'!K59</f>
        <v>71540</v>
      </c>
    </row>
    <row r="80" spans="2:10" x14ac:dyDescent="0.3">
      <c r="B80" s="88" t="str">
        <f>_xlfn.CONCAT(B77," ","(D)")</f>
        <v>Market Cap / Long term liabilities (D)</v>
      </c>
      <c r="C80" s="88"/>
      <c r="D80" s="89">
        <f>D78/D79</f>
        <v>0.55735215944281413</v>
      </c>
      <c r="E80" s="89">
        <f t="shared" ref="E80:J80" si="5">E78/E79</f>
        <v>0.2048427596228681</v>
      </c>
      <c r="F80" s="89">
        <f t="shared" si="5"/>
        <v>0.81306259975584427</v>
      </c>
      <c r="G80" s="89">
        <f t="shared" si="5"/>
        <v>1.1341889489990136</v>
      </c>
      <c r="H80" s="89">
        <f t="shared" si="5"/>
        <v>1.2017474986823096</v>
      </c>
      <c r="I80" s="89">
        <f t="shared" si="5"/>
        <v>3.5472273599172133</v>
      </c>
      <c r="J80" s="89">
        <f t="shared" si="5"/>
        <v>3.4706257464941297</v>
      </c>
    </row>
    <row r="82" spans="2:10" ht="15.6" x14ac:dyDescent="0.3">
      <c r="B82" s="95" t="s">
        <v>248</v>
      </c>
      <c r="C82" s="106"/>
      <c r="D82" s="106"/>
      <c r="E82" s="106"/>
      <c r="F82" s="106"/>
      <c r="G82" s="106"/>
      <c r="H82" s="106"/>
      <c r="I82" s="106"/>
      <c r="J82" s="106"/>
    </row>
    <row r="83" spans="2:10" x14ac:dyDescent="0.3">
      <c r="D83" s="51">
        <v>43525</v>
      </c>
      <c r="E83" s="51">
        <v>43891</v>
      </c>
      <c r="F83" s="51">
        <v>44256</v>
      </c>
      <c r="G83" s="51">
        <v>44621</v>
      </c>
      <c r="H83" s="51">
        <v>44986</v>
      </c>
      <c r="I83" s="51">
        <v>45352</v>
      </c>
      <c r="J83" s="51">
        <v>45717</v>
      </c>
    </row>
    <row r="84" spans="2:10" x14ac:dyDescent="0.3">
      <c r="B84" t="s">
        <v>1</v>
      </c>
      <c r="D84" s="74">
        <f>'Data Sheet'!E17</f>
        <v>301938.40000000002</v>
      </c>
      <c r="E84" s="74">
        <f>'Data Sheet'!F17</f>
        <v>261067.97</v>
      </c>
      <c r="F84" s="74">
        <f>'Data Sheet'!G17</f>
        <v>249794.75</v>
      </c>
      <c r="G84" s="74">
        <f>'Data Sheet'!H17</f>
        <v>278453.62</v>
      </c>
      <c r="H84" s="74">
        <f>'Data Sheet'!I17</f>
        <v>345966.97</v>
      </c>
      <c r="I84" s="74">
        <f>'Data Sheet'!J17</f>
        <v>434016</v>
      </c>
      <c r="J84" s="74">
        <f>'Data Sheet'!K17</f>
        <v>439695</v>
      </c>
    </row>
    <row r="85" spans="2:10" x14ac:dyDescent="0.3">
      <c r="B85" t="s">
        <v>249</v>
      </c>
      <c r="D85" s="74">
        <f>'Data Sheet'!E66</f>
        <v>305703.49</v>
      </c>
      <c r="E85" s="74">
        <f>'Data Sheet'!F66</f>
        <v>320179.39</v>
      </c>
      <c r="F85" s="74">
        <f>'Data Sheet'!G66</f>
        <v>341569.91</v>
      </c>
      <c r="G85" s="74">
        <f>'Data Sheet'!H66</f>
        <v>329061.49</v>
      </c>
      <c r="H85" s="74">
        <f>'Data Sheet'!I66</f>
        <v>334674.43</v>
      </c>
      <c r="I85" s="74">
        <f>'Data Sheet'!J66</f>
        <v>369521</v>
      </c>
      <c r="J85" s="74">
        <f>'Data Sheet'!K66</f>
        <v>376973</v>
      </c>
    </row>
    <row r="86" spans="2:10" x14ac:dyDescent="0.3">
      <c r="B86" s="88" t="str">
        <f>_xlfn.CONCAT(B82," ","(E)")</f>
        <v>Sales / Total Assets (E)</v>
      </c>
      <c r="C86" s="88"/>
      <c r="D86" s="89">
        <f>D84/D85</f>
        <v>0.98768385012549265</v>
      </c>
      <c r="E86" s="89">
        <f t="shared" ref="E86:J86" si="6">E84/E85</f>
        <v>0.81538030914482029</v>
      </c>
      <c r="F86" s="89">
        <f t="shared" si="6"/>
        <v>0.73131368626703686</v>
      </c>
      <c r="G86" s="89">
        <f t="shared" si="6"/>
        <v>0.84620543108827473</v>
      </c>
      <c r="H86" s="89">
        <f t="shared" si="6"/>
        <v>1.0337418666851841</v>
      </c>
      <c r="I86" s="89">
        <f t="shared" si="6"/>
        <v>1.1745367651635497</v>
      </c>
      <c r="J86" s="89">
        <f t="shared" si="6"/>
        <v>1.1663832688282716</v>
      </c>
    </row>
    <row r="88" spans="2:10" ht="15.6" x14ac:dyDescent="0.3">
      <c r="B88" s="95" t="s">
        <v>251</v>
      </c>
      <c r="C88" s="106"/>
      <c r="D88" s="106"/>
      <c r="E88" s="106"/>
      <c r="F88" s="106"/>
      <c r="G88" s="106"/>
      <c r="H88" s="106"/>
      <c r="I88" s="106"/>
      <c r="J88" s="106"/>
    </row>
    <row r="89" spans="2:10" x14ac:dyDescent="0.3">
      <c r="D89" s="51">
        <v>43525</v>
      </c>
      <c r="E89" s="51">
        <v>43891</v>
      </c>
      <c r="F89" s="51">
        <v>44256</v>
      </c>
      <c r="G89" s="51">
        <v>44621</v>
      </c>
      <c r="H89" s="51">
        <v>44986</v>
      </c>
      <c r="I89" s="51">
        <v>45352</v>
      </c>
      <c r="J89" s="51">
        <v>45717</v>
      </c>
    </row>
    <row r="90" spans="2:10" x14ac:dyDescent="0.3">
      <c r="B90" s="88" t="s">
        <v>252</v>
      </c>
      <c r="C90" s="88"/>
      <c r="D90" s="108">
        <f>(1.2*D64)+(1.4*D70)+(3.3*D75)+(0.6*D80)+(1*D86)</f>
        <v>1.4226431212166499</v>
      </c>
      <c r="E90" s="108">
        <f t="shared" ref="E90:J90" si="7">(1.2*E64)+(1.4*E70)+(3.3*E75)+(0.6*E80)+(1*E86)</f>
        <v>1.0247648916227243</v>
      </c>
      <c r="F90" s="108">
        <f t="shared" si="7"/>
        <v>1.3056338171409236</v>
      </c>
      <c r="G90" s="108">
        <f t="shared" si="7"/>
        <v>1.7539981214437752</v>
      </c>
      <c r="H90" s="108">
        <f t="shared" si="7"/>
        <v>1.8090458583144717</v>
      </c>
      <c r="I90" s="108">
        <f t="shared" si="7"/>
        <v>3.4010615384738108</v>
      </c>
      <c r="J90" s="108">
        <f t="shared" si="7"/>
        <v>3.4689323100590199</v>
      </c>
    </row>
    <row r="91" spans="2:10" x14ac:dyDescent="0.3">
      <c r="B91" s="102" t="s">
        <v>253</v>
      </c>
      <c r="C91" s="109"/>
      <c r="D91" s="110" t="str">
        <f>IF(D90&lt;1.81,"Distressed",IF(D90&gt;3,"Strong","Grey Zone"))</f>
        <v>Distressed</v>
      </c>
      <c r="E91" s="110" t="str">
        <f t="shared" ref="E91:J91" si="8">IF(E90&lt;1.81,"Distressed",IF(E90&gt;3,"Strong","Grey Zone"))</f>
        <v>Distressed</v>
      </c>
      <c r="F91" s="110" t="str">
        <f t="shared" si="8"/>
        <v>Distressed</v>
      </c>
      <c r="G91" s="110" t="str">
        <f t="shared" si="8"/>
        <v>Distressed</v>
      </c>
      <c r="H91" s="110" t="str">
        <f t="shared" si="8"/>
        <v>Distressed</v>
      </c>
      <c r="I91" s="110" t="str">
        <f t="shared" si="8"/>
        <v>Strong</v>
      </c>
      <c r="J91" s="110" t="str">
        <f t="shared" si="8"/>
        <v>Strong</v>
      </c>
    </row>
    <row r="93" spans="2:10" x14ac:dyDescent="0.3">
      <c r="B93" s="93"/>
      <c r="C93" s="93"/>
      <c r="D93" s="93"/>
      <c r="E93" s="93"/>
      <c r="F93" s="93"/>
      <c r="G93" s="93"/>
      <c r="H93" s="93"/>
      <c r="I93" s="93"/>
      <c r="J93" s="93"/>
    </row>
  </sheetData>
  <mergeCells count="7">
    <mergeCell ref="B88:J88"/>
    <mergeCell ref="B9:J12"/>
    <mergeCell ref="B60:J60"/>
    <mergeCell ref="B66:J66"/>
    <mergeCell ref="B82:J82"/>
    <mergeCell ref="B72:J72"/>
    <mergeCell ref="B77:J77"/>
  </mergeCells>
  <pageMargins left="0.7" right="0.7" top="0.75" bottom="0.75" header="0.3" footer="0.3"/>
  <pageSetup scale="77" orientation="portrait" r:id="rId1"/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9132-57F9-4C43-95D5-CD3F0328237B}">
  <dimension ref="B2:J114"/>
  <sheetViews>
    <sheetView showGridLines="0" zoomScale="80" zoomScaleNormal="80" zoomScalePageLayoutView="56" workbookViewId="0">
      <selection activeCell="L108" sqref="L108"/>
    </sheetView>
  </sheetViews>
  <sheetFormatPr defaultRowHeight="14.4" x14ac:dyDescent="0.3"/>
  <cols>
    <col min="1" max="1" width="1.88671875" customWidth="1"/>
    <col min="2" max="2" width="34.109375" customWidth="1"/>
  </cols>
  <sheetData>
    <row r="2" spans="2:10" ht="15" customHeight="1" x14ac:dyDescent="0.3">
      <c r="B2" s="93"/>
      <c r="C2" s="93"/>
      <c r="D2" s="93"/>
      <c r="E2" s="93"/>
      <c r="F2" s="93"/>
      <c r="G2" s="93"/>
      <c r="H2" s="93"/>
      <c r="I2" s="93"/>
      <c r="J2" s="93"/>
    </row>
    <row r="3" spans="2:10" ht="35.4" customHeight="1" x14ac:dyDescent="0.7">
      <c r="B3" s="84" t="s">
        <v>217</v>
      </c>
    </row>
    <row r="4" spans="2:10" x14ac:dyDescent="0.3">
      <c r="B4" t="s">
        <v>218</v>
      </c>
    </row>
    <row r="5" spans="2:10" ht="23.4" customHeight="1" x14ac:dyDescent="0.45">
      <c r="B5" s="91" t="s">
        <v>219</v>
      </c>
    </row>
    <row r="6" spans="2:10" ht="13.2" customHeight="1" thickBot="1" x14ac:dyDescent="0.35">
      <c r="B6" t="s">
        <v>220</v>
      </c>
    </row>
    <row r="7" spans="2:10" ht="8.4" customHeight="1" thickTop="1" x14ac:dyDescent="0.3">
      <c r="B7" s="85"/>
      <c r="C7" s="85"/>
      <c r="D7" s="85"/>
      <c r="E7" s="85"/>
      <c r="F7" s="85"/>
      <c r="G7" s="85"/>
      <c r="H7" s="85"/>
      <c r="I7" s="85"/>
      <c r="J7" s="85"/>
    </row>
    <row r="8" spans="2:10" s="86" customFormat="1" ht="17.399999999999999" customHeight="1" x14ac:dyDescent="0.4">
      <c r="B8" s="92" t="s">
        <v>221</v>
      </c>
    </row>
    <row r="9" spans="2:10" hidden="1" x14ac:dyDescent="0.3">
      <c r="B9" s="94" t="s">
        <v>222</v>
      </c>
      <c r="C9" s="94"/>
      <c r="D9" s="94"/>
      <c r="E9" s="94"/>
      <c r="F9" s="94"/>
      <c r="G9" s="94"/>
      <c r="H9" s="94"/>
      <c r="I9" s="94"/>
      <c r="J9" s="94"/>
    </row>
    <row r="10" spans="2:10" x14ac:dyDescent="0.3">
      <c r="B10" s="94"/>
      <c r="C10" s="94"/>
      <c r="D10" s="94"/>
      <c r="E10" s="94"/>
      <c r="F10" s="94"/>
      <c r="G10" s="94"/>
      <c r="H10" s="94"/>
      <c r="I10" s="94"/>
      <c r="J10" s="94"/>
    </row>
    <row r="11" spans="2:10" x14ac:dyDescent="0.3">
      <c r="B11" s="94"/>
      <c r="C11" s="94"/>
      <c r="D11" s="94"/>
      <c r="E11" s="94"/>
      <c r="F11" s="94"/>
      <c r="G11" s="94"/>
      <c r="H11" s="94"/>
      <c r="I11" s="94"/>
      <c r="J11" s="94"/>
    </row>
    <row r="12" spans="2:10" x14ac:dyDescent="0.3">
      <c r="B12" s="94"/>
      <c r="C12" s="94"/>
      <c r="D12" s="94"/>
      <c r="E12" s="94"/>
      <c r="F12" s="94"/>
      <c r="G12" s="94"/>
      <c r="H12" s="94"/>
      <c r="I12" s="94"/>
      <c r="J12" s="94"/>
    </row>
    <row r="13" spans="2:10" ht="6.6" customHeight="1" x14ac:dyDescent="0.3">
      <c r="B13" s="87"/>
      <c r="C13" s="87"/>
      <c r="D13" s="87"/>
      <c r="E13" s="87"/>
      <c r="F13" s="87"/>
      <c r="G13" s="87"/>
      <c r="H13" s="87"/>
      <c r="I13" s="87"/>
      <c r="J13" s="87"/>
    </row>
    <row r="14" spans="2:10" ht="18.600000000000001" customHeight="1" x14ac:dyDescent="0.35">
      <c r="B14" s="92" t="s">
        <v>239</v>
      </c>
    </row>
    <row r="15" spans="2:10" ht="6" customHeight="1" x14ac:dyDescent="0.3"/>
    <row r="53" spans="2:10" ht="15" customHeight="1" x14ac:dyDescent="0.3"/>
    <row r="54" spans="2:10" x14ac:dyDescent="0.3">
      <c r="B54" s="93"/>
      <c r="C54" s="93"/>
      <c r="D54" s="93"/>
      <c r="E54" s="93"/>
      <c r="F54" s="93"/>
      <c r="G54" s="93"/>
      <c r="H54" s="93"/>
      <c r="I54" s="93"/>
      <c r="J54" s="93"/>
    </row>
    <row r="56" spans="2:10" ht="15" customHeight="1" x14ac:dyDescent="0.3">
      <c r="B56" s="93"/>
      <c r="C56" s="93"/>
      <c r="D56" s="93"/>
      <c r="E56" s="93"/>
      <c r="F56" s="93"/>
      <c r="G56" s="93"/>
      <c r="H56" s="93"/>
      <c r="I56" s="93"/>
      <c r="J56" s="93"/>
    </row>
    <row r="57" spans="2:10" ht="15" customHeight="1" x14ac:dyDescent="0.3"/>
    <row r="58" spans="2:10" ht="15" customHeight="1" x14ac:dyDescent="0.3"/>
    <row r="60" spans="2:10" ht="15.6" x14ac:dyDescent="0.3">
      <c r="B60" s="95" t="s">
        <v>223</v>
      </c>
      <c r="C60" s="96"/>
      <c r="D60" s="96"/>
      <c r="E60" s="96"/>
      <c r="F60" s="96"/>
      <c r="G60" s="96"/>
      <c r="H60" s="96"/>
      <c r="I60" s="96"/>
      <c r="J60" s="96"/>
    </row>
    <row r="61" spans="2:10" x14ac:dyDescent="0.3">
      <c r="D61" s="51">
        <v>43525</v>
      </c>
      <c r="E61" s="51">
        <v>43891</v>
      </c>
      <c r="F61" s="51">
        <v>44256</v>
      </c>
      <c r="G61" s="51">
        <v>44621</v>
      </c>
      <c r="H61" s="51">
        <v>44986</v>
      </c>
      <c r="I61" s="51">
        <v>45352</v>
      </c>
      <c r="J61" s="51">
        <v>45717</v>
      </c>
    </row>
    <row r="62" spans="2:10" x14ac:dyDescent="0.3">
      <c r="B62" t="s">
        <v>72</v>
      </c>
      <c r="D62" s="74">
        <f>'Historical FS'!F31</f>
        <v>1859.1100000000179</v>
      </c>
      <c r="E62" s="74">
        <f>'Historical FS'!G31</f>
        <v>-6614.5600000000341</v>
      </c>
      <c r="F62" s="74">
        <f>'Historical FS'!H31</f>
        <v>7470.010000000002</v>
      </c>
      <c r="G62" s="74">
        <f>'Historical FS'!I31</f>
        <v>-10477.770000000008</v>
      </c>
      <c r="H62" s="74">
        <f>'Historical FS'!J31</f>
        <v>-13537.340000000027</v>
      </c>
      <c r="I62" s="74">
        <f>'Historical FS'!K31</f>
        <v>23883</v>
      </c>
      <c r="J62" s="74">
        <f>'Historical FS'!L31</f>
        <v>22047</v>
      </c>
    </row>
    <row r="63" spans="2:10" x14ac:dyDescent="0.3">
      <c r="B63" t="s">
        <v>224</v>
      </c>
      <c r="D63" s="74">
        <f>(('Historical FS'!F45+'Historical FS'!F46)+('Historical FS'!E45+'Historical FS'!E46))/2</f>
        <v>77803.735000000001</v>
      </c>
      <c r="E63" s="74">
        <f>(('Historical FS'!G45+'Historical FS'!G46)+('Historical FS'!F45+'Historical FS'!F46))/2</f>
        <v>61629.044999999998</v>
      </c>
      <c r="F63" s="74">
        <f>(('Historical FS'!H45+'Historical FS'!H46)+('Historical FS'!G45+'Historical FS'!G46))/2</f>
        <v>59162.625</v>
      </c>
      <c r="G63" s="74">
        <f>(('Historical FS'!I45+'Historical FS'!I46)+('Historical FS'!H45+'Historical FS'!H46))/2</f>
        <v>49903.979999999996</v>
      </c>
      <c r="H63" s="74">
        <f>(('Historical FS'!J45+'Historical FS'!J46)+('Historical FS'!I45+'Historical FS'!I46))/2</f>
        <v>44941.514999999999</v>
      </c>
      <c r="I63" s="74">
        <f>(('Historical FS'!K45+'Historical FS'!K46)+('Historical FS'!J45+'Historical FS'!J46))/2</f>
        <v>65119.894999999997</v>
      </c>
      <c r="J63" s="74">
        <f>(('Historical FS'!L45+'Historical FS'!L46)+('Historical FS'!K45+'Historical FS'!K46))/2</f>
        <v>100531</v>
      </c>
    </row>
    <row r="64" spans="2:10" x14ac:dyDescent="0.3">
      <c r="B64" s="88" t="s">
        <v>225</v>
      </c>
      <c r="C64" s="88"/>
      <c r="D64" s="89">
        <f>D62/D63</f>
        <v>2.3894868286207824E-2</v>
      </c>
      <c r="E64" s="89">
        <f t="shared" ref="E64:J64" si="0">E62/E63</f>
        <v>-0.107328614292174</v>
      </c>
      <c r="F64" s="89">
        <f t="shared" si="0"/>
        <v>0.12626231510180627</v>
      </c>
      <c r="G64" s="89">
        <f t="shared" si="0"/>
        <v>-0.20995860450408982</v>
      </c>
      <c r="H64" s="89">
        <f t="shared" si="0"/>
        <v>-0.30122126501520985</v>
      </c>
      <c r="I64" s="89">
        <f t="shared" si="0"/>
        <v>0.36675427686116513</v>
      </c>
      <c r="J64" s="89">
        <f t="shared" si="0"/>
        <v>0.21930548785946624</v>
      </c>
    </row>
    <row r="66" spans="2:10" ht="15.6" x14ac:dyDescent="0.3">
      <c r="B66" s="95" t="s">
        <v>226</v>
      </c>
      <c r="C66" s="96"/>
      <c r="D66" s="96"/>
      <c r="E66" s="96"/>
      <c r="F66" s="96"/>
      <c r="G66" s="96"/>
      <c r="H66" s="96"/>
      <c r="I66" s="96"/>
      <c r="J66" s="96"/>
    </row>
    <row r="67" spans="2:10" x14ac:dyDescent="0.3">
      <c r="D67" s="51">
        <v>43525</v>
      </c>
      <c r="E67" s="51">
        <v>43891</v>
      </c>
      <c r="F67" s="51">
        <v>44256</v>
      </c>
      <c r="G67" s="51">
        <v>44621</v>
      </c>
      <c r="H67" s="51">
        <v>44986</v>
      </c>
      <c r="I67" s="51">
        <v>45352</v>
      </c>
      <c r="J67" s="51">
        <v>45717</v>
      </c>
    </row>
    <row r="68" spans="2:10" x14ac:dyDescent="0.3">
      <c r="B68" t="str">
        <f>B62</f>
        <v>Net Profit</v>
      </c>
      <c r="D68" s="74">
        <f t="shared" ref="D68:J68" si="1">D62</f>
        <v>1859.1100000000179</v>
      </c>
      <c r="E68" s="74">
        <f t="shared" si="1"/>
        <v>-6614.5600000000341</v>
      </c>
      <c r="F68" s="74">
        <f t="shared" si="1"/>
        <v>7470.010000000002</v>
      </c>
      <c r="G68" s="74">
        <f t="shared" si="1"/>
        <v>-10477.770000000008</v>
      </c>
      <c r="H68" s="74">
        <f t="shared" si="1"/>
        <v>-13537.340000000027</v>
      </c>
      <c r="I68" s="74">
        <f t="shared" si="1"/>
        <v>23883</v>
      </c>
      <c r="J68" s="74">
        <f t="shared" si="1"/>
        <v>22047</v>
      </c>
    </row>
    <row r="69" spans="2:10" x14ac:dyDescent="0.3">
      <c r="B69" t="s">
        <v>227</v>
      </c>
      <c r="D69" s="74">
        <f>'Historical FS'!F5</f>
        <v>301938.40000000002</v>
      </c>
      <c r="E69" s="74">
        <f>'Historical FS'!G5</f>
        <v>261067.97</v>
      </c>
      <c r="F69" s="74">
        <f>'Historical FS'!H5</f>
        <v>249794.75</v>
      </c>
      <c r="G69" s="74">
        <f>'Historical FS'!I5</f>
        <v>278453.62</v>
      </c>
      <c r="H69" s="74">
        <f>'Historical FS'!J5</f>
        <v>345966.97</v>
      </c>
      <c r="I69" s="74">
        <f>'Historical FS'!K5</f>
        <v>434016</v>
      </c>
      <c r="J69" s="74">
        <f>'Historical FS'!L5</f>
        <v>439695</v>
      </c>
    </row>
    <row r="70" spans="2:10" x14ac:dyDescent="0.3">
      <c r="B70" s="88" t="s">
        <v>228</v>
      </c>
      <c r="C70" s="88"/>
      <c r="D70" s="89">
        <f>D68/D69</f>
        <v>6.1572492932333803E-3</v>
      </c>
      <c r="E70" s="89">
        <f t="shared" ref="E70:J70" si="2">E68/E69</f>
        <v>-2.5336543582883928E-2</v>
      </c>
      <c r="F70" s="89">
        <f t="shared" si="2"/>
        <v>2.9904591669760883E-2</v>
      </c>
      <c r="G70" s="89">
        <f t="shared" si="2"/>
        <v>-3.7628420847967456E-2</v>
      </c>
      <c r="H70" s="89">
        <f t="shared" si="2"/>
        <v>-3.9128995464509313E-2</v>
      </c>
      <c r="I70" s="89">
        <f t="shared" si="2"/>
        <v>5.5027925237779253E-2</v>
      </c>
      <c r="J70" s="89">
        <f t="shared" si="2"/>
        <v>5.0141575410227547E-2</v>
      </c>
    </row>
    <row r="72" spans="2:10" x14ac:dyDescent="0.3">
      <c r="B72" t="s">
        <v>227</v>
      </c>
      <c r="D72" s="74">
        <f>'Historical FS'!F5</f>
        <v>301938.40000000002</v>
      </c>
      <c r="E72" s="74">
        <f>'Historical FS'!G5</f>
        <v>261067.97</v>
      </c>
      <c r="F72" s="74">
        <f>'Historical FS'!H5</f>
        <v>249794.75</v>
      </c>
      <c r="G72" s="74">
        <f>'Historical FS'!I5</f>
        <v>278453.62</v>
      </c>
      <c r="H72" s="74">
        <f>'Historical FS'!J5</f>
        <v>345966.97</v>
      </c>
      <c r="I72" s="74">
        <f>'Historical FS'!K5</f>
        <v>434016</v>
      </c>
      <c r="J72" s="74">
        <f>'Historical FS'!L5</f>
        <v>439695</v>
      </c>
    </row>
    <row r="73" spans="2:10" x14ac:dyDescent="0.3">
      <c r="B73" t="s">
        <v>229</v>
      </c>
      <c r="D73" s="74">
        <f>('Historical FS'!F62+'Historical FS'!E62)/2</f>
        <v>316447.65000000002</v>
      </c>
      <c r="E73" s="74">
        <f>('Historical FS'!G62+'Historical FS'!F62)/2</f>
        <v>312941.44</v>
      </c>
      <c r="F73" s="74">
        <f>('Historical FS'!H62+'Historical FS'!G62)/2</f>
        <v>330874.65000000002</v>
      </c>
      <c r="G73" s="74">
        <f>('Historical FS'!I62+'Historical FS'!H62)/2</f>
        <v>335315.69999999995</v>
      </c>
      <c r="H73" s="74">
        <f>('Historical FS'!J62+'Historical FS'!I62)/2</f>
        <v>331867.96000000002</v>
      </c>
      <c r="I73" s="74">
        <f>('Historical FS'!K62+'Historical FS'!J62)/2</f>
        <v>352097.71500000003</v>
      </c>
      <c r="J73" s="74">
        <f>('Historical FS'!L62+'Historical FS'!K62)/2</f>
        <v>373247</v>
      </c>
    </row>
    <row r="74" spans="2:10" x14ac:dyDescent="0.3">
      <c r="B74" s="88" t="s">
        <v>230</v>
      </c>
      <c r="C74" s="88"/>
      <c r="D74" s="90">
        <f t="shared" ref="D74:I74" si="3">D72/D73</f>
        <v>0.95414960420783657</v>
      </c>
      <c r="E74" s="90">
        <f t="shared" si="3"/>
        <v>0.83423905124230269</v>
      </c>
      <c r="F74" s="90">
        <f t="shared" si="3"/>
        <v>0.75495281974608808</v>
      </c>
      <c r="G74" s="90">
        <f t="shared" si="3"/>
        <v>0.83042225580251694</v>
      </c>
      <c r="H74" s="90">
        <f t="shared" si="3"/>
        <v>1.0424837938558453</v>
      </c>
      <c r="I74" s="90">
        <f t="shared" si="3"/>
        <v>1.2326578148909599</v>
      </c>
      <c r="J74" s="90">
        <f>J72/J73</f>
        <v>1.1780268830024085</v>
      </c>
    </row>
    <row r="76" spans="2:10" x14ac:dyDescent="0.3">
      <c r="B76" t="s">
        <v>229</v>
      </c>
      <c r="D76" s="74">
        <f>('Historical FS'!F62+'Historical FS'!E62)/2</f>
        <v>316447.65000000002</v>
      </c>
      <c r="E76" s="74">
        <f>('Historical FS'!G62+'Historical FS'!F62)/2</f>
        <v>312941.44</v>
      </c>
      <c r="F76" s="74">
        <f>('Historical FS'!H62+'Historical FS'!G62)/2</f>
        <v>330874.65000000002</v>
      </c>
      <c r="G76" s="74">
        <f>('Historical FS'!I62+'Historical FS'!H62)/2</f>
        <v>335315.69999999995</v>
      </c>
      <c r="H76" s="74">
        <f>('Historical FS'!J62+'Historical FS'!I62)/2</f>
        <v>331867.96000000002</v>
      </c>
      <c r="I76" s="74">
        <f>('Historical FS'!K62+'Historical FS'!J62)/2</f>
        <v>352097.71500000003</v>
      </c>
      <c r="J76" s="74">
        <f>('Historical FS'!L62+'Historical FS'!K62)/2</f>
        <v>373247</v>
      </c>
    </row>
    <row r="77" spans="2:10" x14ac:dyDescent="0.3">
      <c r="B77" t="s">
        <v>231</v>
      </c>
      <c r="D77" s="74">
        <f>(('Historical FS'!F45+'Historical FS'!F46)+('Historical FS'!E46+'Historical FS'!E45))/2</f>
        <v>77803.735000000001</v>
      </c>
      <c r="E77" s="74">
        <f>(('Historical FS'!G45+'Historical FS'!G46)+('Historical FS'!F46+'Historical FS'!F45))/2</f>
        <v>61629.044999999998</v>
      </c>
      <c r="F77" s="74">
        <f>(('Historical FS'!H45+'Historical FS'!H46)+('Historical FS'!G46+'Historical FS'!G45))/2</f>
        <v>59162.625</v>
      </c>
      <c r="G77" s="74">
        <f>(('Historical FS'!I45+'Historical FS'!I46)+('Historical FS'!H46+'Historical FS'!H45))/2</f>
        <v>49903.979999999996</v>
      </c>
      <c r="H77" s="74">
        <f>(('Historical FS'!J45+'Historical FS'!J46)+('Historical FS'!I46+'Historical FS'!I45))/2</f>
        <v>44941.514999999999</v>
      </c>
      <c r="I77" s="74">
        <f>(('Historical FS'!K45+'Historical FS'!K46)+('Historical FS'!J46+'Historical FS'!J45))/2</f>
        <v>65119.894999999997</v>
      </c>
      <c r="J77" s="74">
        <f>(('Historical FS'!L45+'Historical FS'!L46)+('Historical FS'!K46+'Historical FS'!K45))/2</f>
        <v>100531</v>
      </c>
    </row>
    <row r="78" spans="2:10" x14ac:dyDescent="0.3">
      <c r="B78" s="88" t="s">
        <v>232</v>
      </c>
      <c r="C78" s="88"/>
      <c r="D78" s="90">
        <f t="shared" ref="D78" si="4">D76/D77</f>
        <v>4.0672552545195941</v>
      </c>
      <c r="E78" s="90">
        <f t="shared" ref="E78" si="5">E76/E77</f>
        <v>5.0778239383719157</v>
      </c>
      <c r="F78" s="90">
        <f t="shared" ref="F78" si="6">F76/F77</f>
        <v>5.5926296373766382</v>
      </c>
      <c r="G78" s="90">
        <f t="shared" ref="G78" si="7">G76/G77</f>
        <v>6.7192175854510996</v>
      </c>
      <c r="H78" s="90">
        <f t="shared" ref="H78" si="8">H76/H77</f>
        <v>7.3844408672026303</v>
      </c>
      <c r="I78" s="90">
        <f t="shared" ref="I78" si="9">I76/I77</f>
        <v>5.4069146610264047</v>
      </c>
      <c r="J78" s="90">
        <f>J76/J77</f>
        <v>3.7127552695188548</v>
      </c>
    </row>
    <row r="80" spans="2:10" x14ac:dyDescent="0.3">
      <c r="B80" s="88" t="s">
        <v>233</v>
      </c>
      <c r="C80" s="88"/>
      <c r="D80" s="89">
        <f>D70*D74*D78</f>
        <v>2.3894868286207828E-2</v>
      </c>
      <c r="E80" s="89">
        <f t="shared" ref="E80:J80" si="10">E70*E74*E78</f>
        <v>-0.10732861429217398</v>
      </c>
      <c r="F80" s="89">
        <f t="shared" si="10"/>
        <v>0.1262623151018063</v>
      </c>
      <c r="G80" s="89">
        <f t="shared" si="10"/>
        <v>-0.20995860450408982</v>
      </c>
      <c r="H80" s="89">
        <f t="shared" si="10"/>
        <v>-0.30122126501520985</v>
      </c>
      <c r="I80" s="89">
        <f t="shared" si="10"/>
        <v>0.36675427686116513</v>
      </c>
      <c r="J80" s="89">
        <f t="shared" si="10"/>
        <v>0.21930548785946624</v>
      </c>
    </row>
    <row r="82" spans="2:10" ht="15.6" x14ac:dyDescent="0.3">
      <c r="B82" s="95" t="s">
        <v>234</v>
      </c>
      <c r="C82" s="96"/>
      <c r="D82" s="96"/>
      <c r="E82" s="96"/>
      <c r="F82" s="96"/>
      <c r="G82" s="96"/>
      <c r="H82" s="96"/>
      <c r="I82" s="96"/>
      <c r="J82" s="96"/>
    </row>
    <row r="83" spans="2:10" x14ac:dyDescent="0.3">
      <c r="D83" s="51">
        <v>43525</v>
      </c>
      <c r="E83" s="51">
        <v>43891</v>
      </c>
      <c r="F83" s="51">
        <v>44256</v>
      </c>
      <c r="G83" s="51">
        <v>44621</v>
      </c>
      <c r="H83" s="51">
        <v>44986</v>
      </c>
      <c r="I83" s="51">
        <v>45352</v>
      </c>
      <c r="J83" s="51">
        <v>45717</v>
      </c>
    </row>
    <row r="84" spans="2:10" x14ac:dyDescent="0.3">
      <c r="B84" t="s">
        <v>72</v>
      </c>
      <c r="D84" s="74">
        <f>D62</f>
        <v>1859.1100000000179</v>
      </c>
      <c r="E84" s="74">
        <f t="shared" ref="E84:J84" si="11">E62</f>
        <v>-6614.5600000000341</v>
      </c>
      <c r="F84" s="74">
        <f t="shared" si="11"/>
        <v>7470.010000000002</v>
      </c>
      <c r="G84" s="74">
        <f t="shared" si="11"/>
        <v>-10477.770000000008</v>
      </c>
      <c r="H84" s="74">
        <f t="shared" si="11"/>
        <v>-13537.340000000027</v>
      </c>
      <c r="I84" s="74">
        <f t="shared" si="11"/>
        <v>23883</v>
      </c>
      <c r="J84" s="74">
        <f t="shared" si="11"/>
        <v>22047</v>
      </c>
    </row>
    <row r="85" spans="2:10" x14ac:dyDescent="0.3">
      <c r="B85" t="s">
        <v>235</v>
      </c>
      <c r="D85" s="74">
        <f>D73</f>
        <v>316447.65000000002</v>
      </c>
      <c r="E85" s="74">
        <f t="shared" ref="E85:J85" si="12">E73</f>
        <v>312941.44</v>
      </c>
      <c r="F85" s="74">
        <f t="shared" si="12"/>
        <v>330874.65000000002</v>
      </c>
      <c r="G85" s="74">
        <f t="shared" si="12"/>
        <v>335315.69999999995</v>
      </c>
      <c r="H85" s="74">
        <f t="shared" si="12"/>
        <v>331867.96000000002</v>
      </c>
      <c r="I85" s="74">
        <f t="shared" si="12"/>
        <v>352097.71500000003</v>
      </c>
      <c r="J85" s="74">
        <f t="shared" si="12"/>
        <v>373247</v>
      </c>
    </row>
    <row r="86" spans="2:10" x14ac:dyDescent="0.3">
      <c r="B86" s="88" t="s">
        <v>236</v>
      </c>
      <c r="C86" s="88"/>
      <c r="D86" s="89">
        <f>D84/D85</f>
        <v>5.8749369761476114E-3</v>
      </c>
      <c r="E86" s="89">
        <f t="shared" ref="E86:J86" si="13">E84/E85</f>
        <v>-2.1136734080344343E-2</v>
      </c>
      <c r="F86" s="89">
        <f t="shared" si="13"/>
        <v>2.2576555804441355E-2</v>
      </c>
      <c r="G86" s="89">
        <f t="shared" si="13"/>
        <v>-3.1247478122855592E-2</v>
      </c>
      <c r="H86" s="89">
        <f t="shared" si="13"/>
        <v>-4.0791343641609835E-2</v>
      </c>
      <c r="I86" s="89">
        <f t="shared" si="13"/>
        <v>6.7830602081584077E-2</v>
      </c>
      <c r="J86" s="89">
        <f t="shared" si="13"/>
        <v>5.9068123789340572E-2</v>
      </c>
    </row>
    <row r="88" spans="2:10" ht="15.6" x14ac:dyDescent="0.3">
      <c r="B88" s="95" t="s">
        <v>237</v>
      </c>
      <c r="C88" s="96"/>
      <c r="D88" s="96"/>
      <c r="E88" s="96"/>
      <c r="F88" s="96"/>
      <c r="G88" s="96"/>
      <c r="H88" s="96"/>
      <c r="I88" s="96"/>
      <c r="J88" s="96"/>
    </row>
    <row r="89" spans="2:10" x14ac:dyDescent="0.3">
      <c r="D89" s="51">
        <v>43525</v>
      </c>
      <c r="E89" s="51">
        <v>43891</v>
      </c>
      <c r="F89" s="51">
        <v>44256</v>
      </c>
      <c r="G89" s="51">
        <v>44621</v>
      </c>
      <c r="H89" s="51">
        <v>44986</v>
      </c>
      <c r="I89" s="51">
        <v>45352</v>
      </c>
      <c r="J89" s="51">
        <v>45717</v>
      </c>
    </row>
    <row r="90" spans="2:10" x14ac:dyDescent="0.3">
      <c r="B90" t="str">
        <f>B84</f>
        <v>Net Profit</v>
      </c>
      <c r="D90" s="74">
        <f t="shared" ref="D90:J90" si="14">D84</f>
        <v>1859.1100000000179</v>
      </c>
      <c r="E90" s="74">
        <f t="shared" si="14"/>
        <v>-6614.5600000000341</v>
      </c>
      <c r="F90" s="74">
        <f t="shared" si="14"/>
        <v>7470.010000000002</v>
      </c>
      <c r="G90" s="74">
        <f t="shared" si="14"/>
        <v>-10477.770000000008</v>
      </c>
      <c r="H90" s="74">
        <f t="shared" si="14"/>
        <v>-13537.340000000027</v>
      </c>
      <c r="I90" s="74">
        <f t="shared" si="14"/>
        <v>23883</v>
      </c>
      <c r="J90" s="74">
        <f t="shared" si="14"/>
        <v>22047</v>
      </c>
    </row>
    <row r="91" spans="2:10" x14ac:dyDescent="0.3">
      <c r="B91" t="s">
        <v>227</v>
      </c>
      <c r="D91" s="74">
        <f>D69</f>
        <v>301938.40000000002</v>
      </c>
      <c r="E91" s="74">
        <f t="shared" ref="E91:J91" si="15">E69</f>
        <v>261067.97</v>
      </c>
      <c r="F91" s="74">
        <f t="shared" si="15"/>
        <v>249794.75</v>
      </c>
      <c r="G91" s="74">
        <f t="shared" si="15"/>
        <v>278453.62</v>
      </c>
      <c r="H91" s="74">
        <f t="shared" si="15"/>
        <v>345966.97</v>
      </c>
      <c r="I91" s="74">
        <f t="shared" si="15"/>
        <v>434016</v>
      </c>
      <c r="J91" s="74">
        <f t="shared" si="15"/>
        <v>439695</v>
      </c>
    </row>
    <row r="92" spans="2:10" x14ac:dyDescent="0.3">
      <c r="B92" s="88" t="s">
        <v>228</v>
      </c>
      <c r="C92" s="88"/>
      <c r="D92" s="89">
        <f>D90/D91</f>
        <v>6.1572492932333803E-3</v>
      </c>
      <c r="E92" s="89">
        <f t="shared" ref="E92:J92" si="16">E90/E91</f>
        <v>-2.5336543582883928E-2</v>
      </c>
      <c r="F92" s="89">
        <f t="shared" si="16"/>
        <v>2.9904591669760883E-2</v>
      </c>
      <c r="G92" s="89">
        <f t="shared" si="16"/>
        <v>-3.7628420847967456E-2</v>
      </c>
      <c r="H92" s="89">
        <f t="shared" si="16"/>
        <v>-3.9128995464509313E-2</v>
      </c>
      <c r="I92" s="89">
        <f t="shared" si="16"/>
        <v>5.5027925237779253E-2</v>
      </c>
      <c r="J92" s="89">
        <f t="shared" si="16"/>
        <v>5.0141575410227547E-2</v>
      </c>
    </row>
    <row r="94" spans="2:10" x14ac:dyDescent="0.3">
      <c r="B94" t="s">
        <v>227</v>
      </c>
      <c r="D94" s="74">
        <f>D72</f>
        <v>301938.40000000002</v>
      </c>
      <c r="E94" s="74">
        <f t="shared" ref="E94:J94" si="17">E72</f>
        <v>261067.97</v>
      </c>
      <c r="F94" s="74">
        <f t="shared" si="17"/>
        <v>249794.75</v>
      </c>
      <c r="G94" s="74">
        <f t="shared" si="17"/>
        <v>278453.62</v>
      </c>
      <c r="H94" s="74">
        <f t="shared" si="17"/>
        <v>345966.97</v>
      </c>
      <c r="I94" s="74">
        <f t="shared" si="17"/>
        <v>434016</v>
      </c>
      <c r="J94" s="74">
        <f t="shared" si="17"/>
        <v>439695</v>
      </c>
    </row>
    <row r="95" spans="2:10" x14ac:dyDescent="0.3">
      <c r="B95" t="s">
        <v>229</v>
      </c>
      <c r="D95" s="74">
        <f>D73</f>
        <v>316447.65000000002</v>
      </c>
      <c r="E95" s="74">
        <f t="shared" ref="E95:J95" si="18">E73</f>
        <v>312941.44</v>
      </c>
      <c r="F95" s="74">
        <f t="shared" si="18"/>
        <v>330874.65000000002</v>
      </c>
      <c r="G95" s="74">
        <f t="shared" si="18"/>
        <v>335315.69999999995</v>
      </c>
      <c r="H95" s="74">
        <f t="shared" si="18"/>
        <v>331867.96000000002</v>
      </c>
      <c r="I95" s="74">
        <f t="shared" si="18"/>
        <v>352097.71500000003</v>
      </c>
      <c r="J95" s="74">
        <f t="shared" si="18"/>
        <v>373247</v>
      </c>
    </row>
    <row r="96" spans="2:10" x14ac:dyDescent="0.3">
      <c r="B96" s="88" t="s">
        <v>230</v>
      </c>
      <c r="C96" s="88"/>
      <c r="D96" s="90">
        <f t="shared" ref="D96:I96" si="19">D94/D95</f>
        <v>0.95414960420783657</v>
      </c>
      <c r="E96" s="90">
        <f t="shared" si="19"/>
        <v>0.83423905124230269</v>
      </c>
      <c r="F96" s="90">
        <f t="shared" si="19"/>
        <v>0.75495281974608808</v>
      </c>
      <c r="G96" s="90">
        <f t="shared" si="19"/>
        <v>0.83042225580251694</v>
      </c>
      <c r="H96" s="90">
        <f t="shared" si="19"/>
        <v>1.0424837938558453</v>
      </c>
      <c r="I96" s="90">
        <f t="shared" si="19"/>
        <v>1.2326578148909599</v>
      </c>
      <c r="J96" s="90">
        <f>J94/J95</f>
        <v>1.1780268830024085</v>
      </c>
    </row>
    <row r="98" spans="2:10" x14ac:dyDescent="0.3">
      <c r="B98" s="88" t="s">
        <v>238</v>
      </c>
      <c r="C98" s="88"/>
      <c r="D98" s="89">
        <f>D92*D96</f>
        <v>5.8749369761476114E-3</v>
      </c>
      <c r="E98" s="89">
        <f t="shared" ref="E98:J98" si="20">E92*E96</f>
        <v>-2.113673408034434E-2</v>
      </c>
      <c r="F98" s="89">
        <f t="shared" si="20"/>
        <v>2.2576555804441355E-2</v>
      </c>
      <c r="G98" s="89">
        <f t="shared" si="20"/>
        <v>-3.1247478122855592E-2</v>
      </c>
      <c r="H98" s="89">
        <f t="shared" si="20"/>
        <v>-4.0791343641609835E-2</v>
      </c>
      <c r="I98" s="89">
        <f t="shared" si="20"/>
        <v>6.7830602081584077E-2</v>
      </c>
      <c r="J98" s="89">
        <f t="shared" si="20"/>
        <v>5.9068123789340572E-2</v>
      </c>
    </row>
    <row r="114" spans="2:10" x14ac:dyDescent="0.3">
      <c r="B114" s="93"/>
      <c r="C114" s="93"/>
      <c r="D114" s="93"/>
      <c r="E114" s="93"/>
      <c r="F114" s="93"/>
      <c r="G114" s="93"/>
      <c r="H114" s="93"/>
      <c r="I114" s="93"/>
      <c r="J114" s="93"/>
    </row>
  </sheetData>
  <mergeCells count="5">
    <mergeCell ref="B9:J12"/>
    <mergeCell ref="B60:J60"/>
    <mergeCell ref="B66:J66"/>
    <mergeCell ref="B82:J82"/>
    <mergeCell ref="B88:J88"/>
  </mergeCells>
  <pageMargins left="0.7" right="0.7" top="0.75" bottom="0.75" header="0.3" footer="0.3"/>
  <pageSetup scale="77" orientation="portrait" r:id="rId1"/>
  <rowBreaks count="1" manualBreakCount="1">
    <brk id="54" max="16383" man="1"/>
  </rowBreaks>
  <ignoredErrors>
    <ignoredError sqref="D69:J69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ACBF-A6C0-42EE-B7D1-B58D7044F487}">
  <sheetPr>
    <tabColor theme="0"/>
  </sheetPr>
  <dimension ref="A2:M105"/>
  <sheetViews>
    <sheetView showGridLines="0" zoomScale="94" zoomScaleNormal="90" workbookViewId="0">
      <selection activeCell="K42" sqref="K42"/>
    </sheetView>
  </sheetViews>
  <sheetFormatPr defaultColWidth="15.77734375" defaultRowHeight="14.4" outlineLevelRow="1" x14ac:dyDescent="0.3"/>
  <cols>
    <col min="1" max="1" width="2.5546875" customWidth="1"/>
    <col min="2" max="2" width="31" customWidth="1"/>
    <col min="3" max="12" width="15.77734375" customWidth="1"/>
  </cols>
  <sheetData>
    <row r="2" spans="1:13" x14ac:dyDescent="0.3">
      <c r="B2" s="97" t="str">
        <f>"Historical Financial Statements - "&amp;'Data Sheet'!B1</f>
        <v>Historical Financial Statements - TATA MOTORS LTD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x14ac:dyDescent="0.3">
      <c r="B3" s="15" t="s">
        <v>55</v>
      </c>
      <c r="C3" s="16">
        <f>'Data Sheet'!B16</f>
        <v>42460</v>
      </c>
      <c r="D3" s="16">
        <f>'Data Sheet'!C16</f>
        <v>42825</v>
      </c>
      <c r="E3" s="16">
        <f>'Data Sheet'!D16</f>
        <v>43190</v>
      </c>
      <c r="F3" s="16">
        <f>'Data Sheet'!E16</f>
        <v>43555</v>
      </c>
      <c r="G3" s="16">
        <f>'Data Sheet'!F16</f>
        <v>43921</v>
      </c>
      <c r="H3" s="16">
        <f>'Data Sheet'!G16</f>
        <v>44286</v>
      </c>
      <c r="I3" s="16">
        <f>'Data Sheet'!H16</f>
        <v>44651</v>
      </c>
      <c r="J3" s="16">
        <f>'Data Sheet'!I16</f>
        <v>45016</v>
      </c>
      <c r="K3" s="16">
        <f>'Data Sheet'!J16</f>
        <v>45382</v>
      </c>
      <c r="L3" s="16">
        <f>'Data Sheet'!K16</f>
        <v>45747</v>
      </c>
      <c r="M3" s="17" t="s">
        <v>56</v>
      </c>
    </row>
    <row r="4" spans="1:13" s="2" customFormat="1" x14ac:dyDescent="0.3">
      <c r="A4" s="33" t="s">
        <v>57</v>
      </c>
      <c r="B4" s="33" t="s">
        <v>58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outlineLevel="1" x14ac:dyDescent="0.3">
      <c r="B5" s="2" t="s">
        <v>1</v>
      </c>
      <c r="C5" s="23">
        <f>IFERROR('Data Sheet'!B17,0)</f>
        <v>273045.59999999998</v>
      </c>
      <c r="D5" s="23">
        <f>IFERROR('Data Sheet'!C17,0)</f>
        <v>269692.51</v>
      </c>
      <c r="E5" s="23">
        <f>IFERROR('Data Sheet'!D17,0)</f>
        <v>291550.48</v>
      </c>
      <c r="F5" s="23">
        <f>IFERROR('Data Sheet'!E17,0)</f>
        <v>301938.40000000002</v>
      </c>
      <c r="G5" s="23">
        <f>IFERROR('Data Sheet'!F17,0)</f>
        <v>261067.97</v>
      </c>
      <c r="H5" s="23">
        <f>IFERROR('Data Sheet'!G17,0)</f>
        <v>249794.75</v>
      </c>
      <c r="I5" s="23">
        <f>IFERROR('Data Sheet'!H17,0)</f>
        <v>278453.62</v>
      </c>
      <c r="J5" s="23">
        <f>IFERROR('Data Sheet'!I17,0)</f>
        <v>345966.97</v>
      </c>
      <c r="K5" s="23">
        <f>IFERROR('Data Sheet'!J17,0)</f>
        <v>434016</v>
      </c>
      <c r="L5" s="23">
        <f>IFERROR('Data Sheet'!K17,0)</f>
        <v>439695</v>
      </c>
      <c r="M5" s="22">
        <f>IFERROR(SUM('Data Sheet'!H42:K42),0)</f>
        <v>441609</v>
      </c>
    </row>
    <row r="6" spans="1:13" outlineLevel="1" x14ac:dyDescent="0.3">
      <c r="B6" s="18" t="s">
        <v>10</v>
      </c>
      <c r="C6" s="19" t="str">
        <f>"-"</f>
        <v>-</v>
      </c>
      <c r="D6" s="20">
        <f>IFERROR((D5-C5)/C5,0)</f>
        <v>-1.2280329732469477E-2</v>
      </c>
      <c r="E6" s="20">
        <f t="shared" ref="E6:M6" si="0">IFERROR((E5-D5)/D5,0)</f>
        <v>8.1047745819859698E-2</v>
      </c>
      <c r="F6" s="20">
        <f t="shared" si="0"/>
        <v>3.5629919045237185E-2</v>
      </c>
      <c r="G6" s="20">
        <f t="shared" si="0"/>
        <v>-0.135360159555724</v>
      </c>
      <c r="H6" s="20">
        <f t="shared" si="0"/>
        <v>-4.3181168490336062E-2</v>
      </c>
      <c r="I6" s="20">
        <f t="shared" si="0"/>
        <v>0.11472967306158355</v>
      </c>
      <c r="J6" s="20">
        <f t="shared" si="0"/>
        <v>0.24245815155859701</v>
      </c>
      <c r="K6" s="20">
        <f t="shared" si="0"/>
        <v>0.25450126062612288</v>
      </c>
      <c r="L6" s="20">
        <f t="shared" si="0"/>
        <v>1.3084771068347711E-2</v>
      </c>
      <c r="M6" s="20">
        <f t="shared" si="0"/>
        <v>4.3530174325384641E-3</v>
      </c>
    </row>
    <row r="7" spans="1:13" outlineLevel="1" x14ac:dyDescent="0.3"/>
    <row r="8" spans="1:13" outlineLevel="1" x14ac:dyDescent="0.3">
      <c r="B8" s="2" t="s">
        <v>59</v>
      </c>
      <c r="C8" s="22">
        <f>IFERROR(SUM('Data Sheet'!B18,'Data Sheet'!B20:B22,-1*'Data Sheet'!B19),0)</f>
        <v>205509.07</v>
      </c>
      <c r="D8" s="22">
        <f>IFERROR(SUM('Data Sheet'!C18:C22),0)</f>
        <v>220254.08000000002</v>
      </c>
      <c r="E8" s="22">
        <f>IFERROR(SUM('Data Sheet'!D18:D22),0)</f>
        <v>232522.98999999996</v>
      </c>
      <c r="F8" s="22">
        <f>IFERROR(SUM('Data Sheet'!E18:E22),0)</f>
        <v>238738.97</v>
      </c>
      <c r="G8" s="22">
        <f>IFERROR(SUM('Data Sheet'!F18:F22),0)</f>
        <v>205913.69000000003</v>
      </c>
      <c r="H8" s="22">
        <f>IFERROR(SUM('Data Sheet'!G18:G22),0)</f>
        <v>185957.72</v>
      </c>
      <c r="I8" s="22">
        <f>IFERROR(SUM('Data Sheet'!H18:H22),0)</f>
        <v>220119.03</v>
      </c>
      <c r="J8" s="22">
        <f>IFERROR(SUM('Data Sheet'!I18:I22),0)</f>
        <v>283966.88</v>
      </c>
      <c r="K8" s="22">
        <f>IFERROR(SUM('Data Sheet'!J18:J22),0)</f>
        <v>337512</v>
      </c>
      <c r="L8" s="22">
        <f>IFERROR(SUM('Data Sheet'!K18:K22),0)</f>
        <v>335137</v>
      </c>
      <c r="M8" s="22">
        <f>IFERROR(SUM('Data Sheet'!H43:K43),0)</f>
        <v>384424</v>
      </c>
    </row>
    <row r="9" spans="1:13" outlineLevel="1" x14ac:dyDescent="0.3">
      <c r="B9" s="18" t="s">
        <v>60</v>
      </c>
      <c r="C9" s="4">
        <f>C8/C5</f>
        <v>0.75265475803309057</v>
      </c>
      <c r="D9" s="4">
        <f t="shared" ref="D9:M9" si="1">D8/D5</f>
        <v>0.8166859361426092</v>
      </c>
      <c r="E9" s="4">
        <f t="shared" si="1"/>
        <v>0.797539383231336</v>
      </c>
      <c r="F9" s="4">
        <f t="shared" si="1"/>
        <v>0.79068767006780183</v>
      </c>
      <c r="G9" s="4">
        <f t="shared" si="1"/>
        <v>0.78873593723504276</v>
      </c>
      <c r="H9" s="4">
        <f t="shared" si="1"/>
        <v>0.74444206693695525</v>
      </c>
      <c r="I9" s="4">
        <f t="shared" si="1"/>
        <v>0.79050518359215438</v>
      </c>
      <c r="J9" s="4">
        <f t="shared" si="1"/>
        <v>0.82079188079717558</v>
      </c>
      <c r="K9" s="4">
        <f t="shared" si="1"/>
        <v>0.7776487502764875</v>
      </c>
      <c r="L9" s="4">
        <f t="shared" si="1"/>
        <v>0.76220334550085855</v>
      </c>
      <c r="M9" s="4">
        <f t="shared" si="1"/>
        <v>0.87050762099504309</v>
      </c>
    </row>
    <row r="10" spans="1:13" outlineLevel="1" x14ac:dyDescent="0.3"/>
    <row r="11" spans="1:13" outlineLevel="1" x14ac:dyDescent="0.3">
      <c r="B11" s="34" t="s">
        <v>61</v>
      </c>
      <c r="C11" s="35">
        <f>C5-C8</f>
        <v>67536.52999999997</v>
      </c>
      <c r="D11" s="35">
        <f t="shared" ref="D11:M11" si="2">D5-D8</f>
        <v>49438.429999999993</v>
      </c>
      <c r="E11" s="35">
        <f t="shared" si="2"/>
        <v>59027.49000000002</v>
      </c>
      <c r="F11" s="35">
        <f t="shared" si="2"/>
        <v>63199.430000000022</v>
      </c>
      <c r="G11" s="35">
        <f t="shared" si="2"/>
        <v>55154.27999999997</v>
      </c>
      <c r="H11" s="35">
        <f t="shared" si="2"/>
        <v>63837.03</v>
      </c>
      <c r="I11" s="35">
        <f t="shared" si="2"/>
        <v>58334.59</v>
      </c>
      <c r="J11" s="35">
        <f t="shared" si="2"/>
        <v>62000.089999999967</v>
      </c>
      <c r="K11" s="35">
        <f t="shared" si="2"/>
        <v>96504</v>
      </c>
      <c r="L11" s="35">
        <f t="shared" si="2"/>
        <v>104558</v>
      </c>
      <c r="M11" s="35">
        <f t="shared" si="2"/>
        <v>57185</v>
      </c>
    </row>
    <row r="12" spans="1:13" outlineLevel="1" x14ac:dyDescent="0.3"/>
    <row r="13" spans="1:13" outlineLevel="1" x14ac:dyDescent="0.3">
      <c r="B13" s="2" t="s">
        <v>62</v>
      </c>
      <c r="C13" s="22">
        <f>IFERROR(SUM('Data Sheet'!B23:B24),0)</f>
        <v>29141.280000000002</v>
      </c>
      <c r="D13" s="22">
        <f>IFERROR(SUM('Data Sheet'!C23:C24),0)</f>
        <v>34649.58</v>
      </c>
      <c r="E13" s="22">
        <f>IFERROR(SUM('Data Sheet'!D23:D24),0)</f>
        <v>31662.97</v>
      </c>
      <c r="F13" s="22">
        <f>IFERROR(SUM('Data Sheet'!E23:E24),0)</f>
        <v>34428.54</v>
      </c>
      <c r="G13" s="22">
        <f>IFERROR(SUM('Data Sheet'!F23:F24),0)</f>
        <v>32704.83</v>
      </c>
      <c r="H13" s="22">
        <f>IFERROR(SUM('Data Sheet'!G23:G24),0)</f>
        <v>22181.280000000002</v>
      </c>
      <c r="I13" s="22">
        <f>IFERROR(SUM('Data Sheet'!H23:H24),0)</f>
        <v>30433.52</v>
      </c>
      <c r="J13" s="22">
        <f>IFERROR(SUM('Data Sheet'!I23:I24),0)</f>
        <v>39747.53</v>
      </c>
      <c r="K13" s="22">
        <f>IFERROR(SUM('Data Sheet'!J23:J24),0)</f>
        <v>41812</v>
      </c>
      <c r="L13" s="22">
        <f>IFERROR(SUM('Data Sheet'!K23:K24),0)</f>
        <v>43670</v>
      </c>
      <c r="M13" s="22">
        <f>IFERROR(SUM('Data Sheet'!L23:L24),0)</f>
        <v>0</v>
      </c>
    </row>
    <row r="14" spans="1:13" outlineLevel="1" x14ac:dyDescent="0.3">
      <c r="B14" s="18" t="s">
        <v>63</v>
      </c>
      <c r="C14" s="21">
        <f>C13/C5</f>
        <v>0.10672678849247161</v>
      </c>
      <c r="D14" s="21">
        <f t="shared" ref="D14:M14" si="3">D13/D5</f>
        <v>0.12847809529452636</v>
      </c>
      <c r="E14" s="21">
        <f t="shared" si="3"/>
        <v>0.10860201636437025</v>
      </c>
      <c r="F14" s="21">
        <f t="shared" si="3"/>
        <v>0.11402504616835751</v>
      </c>
      <c r="G14" s="21">
        <f t="shared" si="3"/>
        <v>0.12527323822987554</v>
      </c>
      <c r="H14" s="21">
        <f t="shared" si="3"/>
        <v>8.8798023177028354E-2</v>
      </c>
      <c r="I14" s="21">
        <f t="shared" si="3"/>
        <v>0.10929475436519734</v>
      </c>
      <c r="J14" s="21">
        <f t="shared" si="3"/>
        <v>0.11488822184383672</v>
      </c>
      <c r="K14" s="21">
        <f t="shared" si="3"/>
        <v>9.6337462213374622E-2</v>
      </c>
      <c r="L14" s="21">
        <f t="shared" si="3"/>
        <v>9.9318846018262658E-2</v>
      </c>
      <c r="M14" s="21">
        <f t="shared" si="3"/>
        <v>0</v>
      </c>
    </row>
    <row r="15" spans="1:13" outlineLevel="1" x14ac:dyDescent="0.3"/>
    <row r="16" spans="1:13" outlineLevel="1" x14ac:dyDescent="0.3">
      <c r="B16" s="34" t="s">
        <v>64</v>
      </c>
      <c r="C16" s="35">
        <f>C11-C13</f>
        <v>38395.249999999971</v>
      </c>
      <c r="D16" s="35">
        <f t="shared" ref="D16:M16" si="4">D11-D13</f>
        <v>14788.849999999991</v>
      </c>
      <c r="E16" s="35">
        <f t="shared" si="4"/>
        <v>27364.520000000019</v>
      </c>
      <c r="F16" s="35">
        <f t="shared" si="4"/>
        <v>28770.890000000021</v>
      </c>
      <c r="G16" s="35">
        <f t="shared" si="4"/>
        <v>22449.449999999968</v>
      </c>
      <c r="H16" s="35">
        <f t="shared" si="4"/>
        <v>41655.75</v>
      </c>
      <c r="I16" s="35">
        <f t="shared" si="4"/>
        <v>27901.069999999996</v>
      </c>
      <c r="J16" s="35">
        <f t="shared" si="4"/>
        <v>22252.559999999969</v>
      </c>
      <c r="K16" s="35">
        <f t="shared" si="4"/>
        <v>54692</v>
      </c>
      <c r="L16" s="35">
        <f t="shared" si="4"/>
        <v>60888</v>
      </c>
      <c r="M16" s="35">
        <f t="shared" si="4"/>
        <v>57185</v>
      </c>
    </row>
    <row r="17" spans="2:13" outlineLevel="1" x14ac:dyDescent="0.3">
      <c r="B17" s="18" t="s">
        <v>66</v>
      </c>
      <c r="C17" s="4">
        <f>C16/C5</f>
        <v>0.14061845347443788</v>
      </c>
      <c r="D17" s="4">
        <f t="shared" ref="D17:M17" si="5">D16/D5</f>
        <v>5.4835968562864393E-2</v>
      </c>
      <c r="E17" s="4">
        <f t="shared" si="5"/>
        <v>9.3858600404293696E-2</v>
      </c>
      <c r="F17" s="4">
        <f t="shared" si="5"/>
        <v>9.528728376384063E-2</v>
      </c>
      <c r="G17" s="4">
        <f t="shared" si="5"/>
        <v>8.5990824535081681E-2</v>
      </c>
      <c r="H17" s="4">
        <f t="shared" si="5"/>
        <v>0.16675990988601641</v>
      </c>
      <c r="I17" s="4">
        <f t="shared" si="5"/>
        <v>0.10020006204264824</v>
      </c>
      <c r="J17" s="4">
        <f t="shared" si="5"/>
        <v>6.4319897358987688E-2</v>
      </c>
      <c r="K17" s="4">
        <f t="shared" si="5"/>
        <v>0.12601378751013786</v>
      </c>
      <c r="L17" s="4">
        <f t="shared" si="5"/>
        <v>0.13847780848087879</v>
      </c>
      <c r="M17" s="4">
        <f t="shared" si="5"/>
        <v>0.12949237900495689</v>
      </c>
    </row>
    <row r="18" spans="2:13" outlineLevel="1" x14ac:dyDescent="0.3"/>
    <row r="19" spans="2:13" outlineLevel="1" x14ac:dyDescent="0.3">
      <c r="B19" s="2" t="s">
        <v>6</v>
      </c>
      <c r="C19" s="22">
        <f>IFERROR('Data Sheet'!B27,0)</f>
        <v>4889.08</v>
      </c>
      <c r="D19" s="22">
        <f>IFERROR('Data Sheet'!C27,0)</f>
        <v>4238.01</v>
      </c>
      <c r="E19" s="22">
        <f>IFERROR('Data Sheet'!D27,0)</f>
        <v>4681.79</v>
      </c>
      <c r="F19" s="22">
        <f>IFERROR('Data Sheet'!E27,0)</f>
        <v>5758.6</v>
      </c>
      <c r="G19" s="22">
        <f>IFERROR('Data Sheet'!F27,0)</f>
        <v>7243.33</v>
      </c>
      <c r="H19" s="22">
        <f>IFERROR('Data Sheet'!G27,0)</f>
        <v>8097.17</v>
      </c>
      <c r="I19" s="22">
        <f>IFERROR('Data Sheet'!H27,0)</f>
        <v>9311.86</v>
      </c>
      <c r="J19" s="22">
        <f>IFERROR('Data Sheet'!I27,0)</f>
        <v>10225.48</v>
      </c>
      <c r="K19" s="22">
        <f>IFERROR('Data Sheet'!J27,0)</f>
        <v>7594</v>
      </c>
      <c r="L19" s="22">
        <f>IFERROR('Data Sheet'!K27,0)</f>
        <v>5083</v>
      </c>
      <c r="M19" s="22">
        <f>IFERROR(SUM('Data Sheet'!H46:K46),0)</f>
        <v>6317</v>
      </c>
    </row>
    <row r="20" spans="2:13" outlineLevel="1" x14ac:dyDescent="0.3">
      <c r="B20" s="18" t="s">
        <v>65</v>
      </c>
      <c r="C20" s="21">
        <f>C19/C5</f>
        <v>1.7905727101993223E-2</v>
      </c>
      <c r="D20" s="21">
        <f t="shared" ref="D20:M20" si="6">D19/D5</f>
        <v>1.5714229512714312E-2</v>
      </c>
      <c r="E20" s="21">
        <f t="shared" si="6"/>
        <v>1.605824830060304E-2</v>
      </c>
      <c r="F20" s="21">
        <f t="shared" si="6"/>
        <v>1.9072102124141878E-2</v>
      </c>
      <c r="G20" s="21">
        <f t="shared" si="6"/>
        <v>2.7744996829752802E-2</v>
      </c>
      <c r="H20" s="21">
        <f t="shared" si="6"/>
        <v>3.2415292955516477E-2</v>
      </c>
      <c r="I20" s="21">
        <f t="shared" si="6"/>
        <v>3.3441332168710897E-2</v>
      </c>
      <c r="J20" s="21">
        <f t="shared" si="6"/>
        <v>2.9556231914277829E-2</v>
      </c>
      <c r="K20" s="21">
        <f t="shared" si="6"/>
        <v>1.7497050799970507E-2</v>
      </c>
      <c r="L20" s="21">
        <f t="shared" si="6"/>
        <v>1.1560286107415368E-2</v>
      </c>
      <c r="M20" s="21">
        <f t="shared" si="6"/>
        <v>1.4304509192520985E-2</v>
      </c>
    </row>
    <row r="21" spans="2:13" outlineLevel="1" x14ac:dyDescent="0.3"/>
    <row r="22" spans="2:13" outlineLevel="1" x14ac:dyDescent="0.3">
      <c r="B22" s="2" t="s">
        <v>5</v>
      </c>
      <c r="C22" s="22">
        <f>IFERROR('Data Sheet'!B26,0)</f>
        <v>16710.78</v>
      </c>
      <c r="D22" s="22">
        <f>IFERROR('Data Sheet'!C26,0)</f>
        <v>17904.990000000002</v>
      </c>
      <c r="E22" s="22">
        <f>IFERROR('Data Sheet'!D26,0)</f>
        <v>21553.59</v>
      </c>
      <c r="F22" s="22">
        <f>IFERROR('Data Sheet'!E26,0)</f>
        <v>23590.63</v>
      </c>
      <c r="G22" s="22">
        <f>IFERROR('Data Sheet'!F26,0)</f>
        <v>21425.43</v>
      </c>
      <c r="H22" s="22">
        <f>IFERROR('Data Sheet'!G26,0)</f>
        <v>23546.71</v>
      </c>
      <c r="I22" s="22">
        <f>IFERROR('Data Sheet'!H26,0)</f>
        <v>24835.69</v>
      </c>
      <c r="J22" s="22">
        <f>IFERROR('Data Sheet'!I26,0)</f>
        <v>24860.36</v>
      </c>
      <c r="K22" s="22">
        <f>IFERROR('Data Sheet'!J26,0)</f>
        <v>27239</v>
      </c>
      <c r="L22" s="22">
        <f>IFERROR('Data Sheet'!K26,0)</f>
        <v>23256</v>
      </c>
      <c r="M22" s="22">
        <f>IFERROR(SUM('Data Sheet'!H45:K45),0)</f>
        <v>23273</v>
      </c>
    </row>
    <row r="23" spans="2:13" outlineLevel="1" x14ac:dyDescent="0.3">
      <c r="B23" s="18" t="s">
        <v>67</v>
      </c>
      <c r="C23" s="21">
        <f>IFERROR(C22/C5,0)</f>
        <v>6.1201425695927715E-2</v>
      </c>
      <c r="D23" s="21">
        <f t="shared" ref="D23:M23" si="7">IFERROR(D22/D5,0)</f>
        <v>6.63903865924938E-2</v>
      </c>
      <c r="E23" s="21">
        <f t="shared" si="7"/>
        <v>7.3927472182518786E-2</v>
      </c>
      <c r="F23" s="21">
        <f t="shared" si="7"/>
        <v>7.8130605447998658E-2</v>
      </c>
      <c r="G23" s="21">
        <f t="shared" si="7"/>
        <v>8.206839774331566E-2</v>
      </c>
      <c r="H23" s="21">
        <f t="shared" si="7"/>
        <v>9.4264230933596482E-2</v>
      </c>
      <c r="I23" s="21">
        <f t="shared" si="7"/>
        <v>8.9191478279219347E-2</v>
      </c>
      <c r="J23" s="21">
        <f t="shared" si="7"/>
        <v>7.1857611147098821E-2</v>
      </c>
      <c r="K23" s="21">
        <f t="shared" si="7"/>
        <v>6.2760359065103591E-2</v>
      </c>
      <c r="L23" s="21">
        <f t="shared" si="7"/>
        <v>5.2891208678743216E-2</v>
      </c>
      <c r="M23" s="21">
        <f t="shared" si="7"/>
        <v>5.2700465796666283E-2</v>
      </c>
    </row>
    <row r="24" spans="2:13" outlineLevel="1" x14ac:dyDescent="0.3"/>
    <row r="25" spans="2:13" outlineLevel="1" x14ac:dyDescent="0.3">
      <c r="B25" s="34" t="s">
        <v>69</v>
      </c>
      <c r="C25" s="35">
        <f>IFERROR(C16-SUM(C19,C22),0)</f>
        <v>16795.38999999997</v>
      </c>
      <c r="D25" s="35">
        <f t="shared" ref="D25:M25" si="8">IFERROR(D16-SUM(D19,D22),0)</f>
        <v>-7354.1500000000087</v>
      </c>
      <c r="E25" s="35">
        <f t="shared" si="8"/>
        <v>1129.1400000000176</v>
      </c>
      <c r="F25" s="35">
        <f t="shared" si="8"/>
        <v>-578.33999999998196</v>
      </c>
      <c r="G25" s="35">
        <f t="shared" si="8"/>
        <v>-6219.3100000000341</v>
      </c>
      <c r="H25" s="35">
        <f t="shared" si="8"/>
        <v>10011.870000000003</v>
      </c>
      <c r="I25" s="35">
        <f t="shared" si="8"/>
        <v>-6246.4800000000068</v>
      </c>
      <c r="J25" s="35">
        <f t="shared" si="8"/>
        <v>-12833.280000000028</v>
      </c>
      <c r="K25" s="35">
        <f t="shared" si="8"/>
        <v>19859</v>
      </c>
      <c r="L25" s="35">
        <f t="shared" si="8"/>
        <v>32549</v>
      </c>
      <c r="M25" s="35">
        <f t="shared" si="8"/>
        <v>27595</v>
      </c>
    </row>
    <row r="26" spans="2:13" outlineLevel="1" x14ac:dyDescent="0.3">
      <c r="B26" s="18" t="s">
        <v>70</v>
      </c>
      <c r="C26" s="4">
        <f>IFERROR(C25/C5,0)</f>
        <v>6.1511300676516931E-2</v>
      </c>
      <c r="D26" s="4">
        <f t="shared" ref="D26:M26" si="9">IFERROR(D25/D5,0)</f>
        <v>-2.7268647542343719E-2</v>
      </c>
      <c r="E26" s="4">
        <f t="shared" si="9"/>
        <v>3.8728799211718589E-3</v>
      </c>
      <c r="F26" s="4">
        <f t="shared" si="9"/>
        <v>-1.9154238082999112E-3</v>
      </c>
      <c r="G26" s="4">
        <f t="shared" si="9"/>
        <v>-2.3822570037986789E-2</v>
      </c>
      <c r="H26" s="4">
        <f t="shared" si="9"/>
        <v>4.0080385996903466E-2</v>
      </c>
      <c r="I26" s="4">
        <f t="shared" si="9"/>
        <v>-2.2432748405282026E-2</v>
      </c>
      <c r="J26" s="4">
        <f t="shared" si="9"/>
        <v>-3.7093945702388956E-2</v>
      </c>
      <c r="K26" s="4">
        <f t="shared" si="9"/>
        <v>4.5756377645063774E-2</v>
      </c>
      <c r="L26" s="4">
        <f t="shared" si="9"/>
        <v>7.4026313694720208E-2</v>
      </c>
      <c r="M26" s="4">
        <f t="shared" si="9"/>
        <v>6.2487404015769604E-2</v>
      </c>
    </row>
    <row r="27" spans="2:13" outlineLevel="1" x14ac:dyDescent="0.3"/>
    <row r="28" spans="2:13" outlineLevel="1" x14ac:dyDescent="0.3">
      <c r="B28" s="2" t="s">
        <v>8</v>
      </c>
      <c r="C28" s="24">
        <f>IFERROR('Data Sheet'!B29,0)</f>
        <v>3025.05</v>
      </c>
      <c r="D28" s="24">
        <f>IFERROR('Data Sheet'!C29,0)</f>
        <v>3251.23</v>
      </c>
      <c r="E28" s="24">
        <f>IFERROR('Data Sheet'!D29,0)</f>
        <v>4341.93</v>
      </c>
      <c r="F28" s="24">
        <f>IFERROR('Data Sheet'!E29,0)</f>
        <v>-2437.4499999999998</v>
      </c>
      <c r="G28" s="24">
        <f>IFERROR('Data Sheet'!F29,0)</f>
        <v>395.25</v>
      </c>
      <c r="H28" s="24">
        <f>IFERROR('Data Sheet'!G29,0)</f>
        <v>2541.86</v>
      </c>
      <c r="I28" s="24">
        <f>IFERROR('Data Sheet'!H29,0)</f>
        <v>4231.29</v>
      </c>
      <c r="J28" s="24">
        <f>IFERROR('Data Sheet'!I29,0)</f>
        <v>704.06</v>
      </c>
      <c r="K28" s="24">
        <f>IFERROR('Data Sheet'!J29,0)</f>
        <v>-4024</v>
      </c>
      <c r="L28" s="24">
        <f>IFERROR('Data Sheet'!K29,0)</f>
        <v>10502</v>
      </c>
      <c r="M28" s="24">
        <f>IFERROR(SUM('Data Sheet'!H48:K48),0)</f>
        <v>10563</v>
      </c>
    </row>
    <row r="29" spans="2:13" outlineLevel="1" x14ac:dyDescent="0.3">
      <c r="B29" s="18" t="s">
        <v>71</v>
      </c>
      <c r="C29" s="21">
        <f>IFERROR(C28/C25,0)</f>
        <v>0.18011192356950362</v>
      </c>
      <c r="D29" s="21">
        <f t="shared" ref="D29:M29" si="10">IFERROR(D28/D25,0)</f>
        <v>-0.44209459964781739</v>
      </c>
      <c r="E29" s="21">
        <f t="shared" si="10"/>
        <v>3.8453424730325136</v>
      </c>
      <c r="F29" s="21">
        <f t="shared" si="10"/>
        <v>4.2145623681572708</v>
      </c>
      <c r="G29" s="21">
        <f t="shared" si="10"/>
        <v>-6.3552066065206247E-2</v>
      </c>
      <c r="H29" s="21">
        <f t="shared" si="10"/>
        <v>0.25388463893358576</v>
      </c>
      <c r="I29" s="21">
        <f t="shared" si="10"/>
        <v>-0.67738790486802092</v>
      </c>
      <c r="J29" s="21">
        <f t="shared" si="10"/>
        <v>-5.4862046179932053E-2</v>
      </c>
      <c r="K29" s="21">
        <f t="shared" si="10"/>
        <v>-0.20262853114456922</v>
      </c>
      <c r="L29" s="21">
        <f t="shared" si="10"/>
        <v>0.32265200159759133</v>
      </c>
      <c r="M29" s="21">
        <f t="shared" si="10"/>
        <v>0.38278673672766805</v>
      </c>
    </row>
    <row r="30" spans="2:13" outlineLevel="1" x14ac:dyDescent="0.3"/>
    <row r="31" spans="2:13" outlineLevel="1" x14ac:dyDescent="0.3">
      <c r="B31" s="34" t="s">
        <v>72</v>
      </c>
      <c r="C31" s="35">
        <f>IFERROR(C25-C28,0)</f>
        <v>13770.339999999971</v>
      </c>
      <c r="D31" s="35">
        <f t="shared" ref="D31:L31" si="11">IFERROR(D25-D28,0)</f>
        <v>-10605.380000000008</v>
      </c>
      <c r="E31" s="35">
        <f t="shared" si="11"/>
        <v>-3212.7899999999827</v>
      </c>
      <c r="F31" s="35">
        <f t="shared" si="11"/>
        <v>1859.1100000000179</v>
      </c>
      <c r="G31" s="35">
        <f t="shared" si="11"/>
        <v>-6614.5600000000341</v>
      </c>
      <c r="H31" s="35">
        <f t="shared" si="11"/>
        <v>7470.010000000002</v>
      </c>
      <c r="I31" s="35">
        <f t="shared" si="11"/>
        <v>-10477.770000000008</v>
      </c>
      <c r="J31" s="35">
        <f t="shared" si="11"/>
        <v>-13537.340000000027</v>
      </c>
      <c r="K31" s="35">
        <f t="shared" si="11"/>
        <v>23883</v>
      </c>
      <c r="L31" s="35">
        <f t="shared" si="11"/>
        <v>22047</v>
      </c>
      <c r="M31" s="35">
        <f>IFERROR(SUM('Data Sheet'!H49:K49),0)</f>
        <v>22785</v>
      </c>
    </row>
    <row r="32" spans="2:13" outlineLevel="1" x14ac:dyDescent="0.3">
      <c r="B32" s="18" t="s">
        <v>73</v>
      </c>
      <c r="C32" s="21">
        <f>IFERROR(C31/C5,0)</f>
        <v>5.0432381990407359E-2</v>
      </c>
      <c r="D32" s="21">
        <f t="shared" ref="D32:M32" si="12">IFERROR(D31/D5,0)</f>
        <v>-3.9323969360513598E-2</v>
      </c>
      <c r="E32" s="21">
        <f t="shared" si="12"/>
        <v>-1.1019669732665105E-2</v>
      </c>
      <c r="F32" s="21">
        <f t="shared" si="12"/>
        <v>6.1572492932333803E-3</v>
      </c>
      <c r="G32" s="21">
        <f t="shared" si="12"/>
        <v>-2.5336543582883928E-2</v>
      </c>
      <c r="H32" s="21">
        <f t="shared" si="12"/>
        <v>2.9904591669760883E-2</v>
      </c>
      <c r="I32" s="21">
        <f t="shared" si="12"/>
        <v>-3.7628420847967456E-2</v>
      </c>
      <c r="J32" s="21">
        <f t="shared" si="12"/>
        <v>-3.9128995464509313E-2</v>
      </c>
      <c r="K32" s="21">
        <f t="shared" si="12"/>
        <v>5.5027925237779253E-2</v>
      </c>
      <c r="L32" s="21">
        <f t="shared" si="12"/>
        <v>5.0141575410227547E-2</v>
      </c>
      <c r="M32" s="21">
        <f t="shared" si="12"/>
        <v>5.1595415854296445E-2</v>
      </c>
    </row>
    <row r="33" spans="1:13" outlineLevel="1" x14ac:dyDescent="0.3"/>
    <row r="34" spans="1:13" outlineLevel="1" x14ac:dyDescent="0.3">
      <c r="B34" s="2" t="s">
        <v>39</v>
      </c>
      <c r="C34" s="25">
        <f>IFERROR('Data Sheet'!B70/10000000,0)</f>
        <v>339.59303060000002</v>
      </c>
      <c r="D34" s="25">
        <f>IFERROR('Data Sheet'!C70/10000000,0)</f>
        <v>339.61007189999998</v>
      </c>
      <c r="E34" s="25">
        <f>IFERROR('Data Sheet'!D70/10000000,0)</f>
        <v>339.61007189999998</v>
      </c>
      <c r="F34" s="25">
        <f>IFERROR('Data Sheet'!E70/10000000,0)</f>
        <v>339.61007189999998</v>
      </c>
      <c r="G34" s="25">
        <f>IFERROR('Data Sheet'!F70/10000000,0)</f>
        <v>359.77261850000002</v>
      </c>
      <c r="H34" s="25">
        <f>IFERROR('Data Sheet'!G70/10000000,0)</f>
        <v>382.90606609999998</v>
      </c>
      <c r="I34" s="25">
        <f>IFERROR('Data Sheet'!H70/10000000,0)</f>
        <v>382.9414903</v>
      </c>
      <c r="J34" s="25">
        <f>IFERROR('Data Sheet'!I70/10000000,0)</f>
        <v>383.00972209999998</v>
      </c>
      <c r="K34" s="25">
        <f>IFERROR('Data Sheet'!J70/10000000,0)</f>
        <v>383.24918969999999</v>
      </c>
      <c r="L34" s="25">
        <f>IFERROR('Data Sheet'!K70/10000000,0)</f>
        <v>368.13487420000001</v>
      </c>
    </row>
    <row r="35" spans="1:13" outlineLevel="1" x14ac:dyDescent="0.3"/>
    <row r="36" spans="1:13" outlineLevel="1" x14ac:dyDescent="0.3">
      <c r="B36" s="2" t="s">
        <v>68</v>
      </c>
      <c r="C36" s="24">
        <f>IFERROR(C31/C34,0)</f>
        <v>40.549536531036132</v>
      </c>
      <c r="D36" s="24">
        <f t="shared" ref="D36:L36" si="13">IFERROR(D31/D34,0)</f>
        <v>-31.228107990633504</v>
      </c>
      <c r="E36" s="24">
        <f t="shared" si="13"/>
        <v>-9.4602317947331258</v>
      </c>
      <c r="F36" s="24">
        <f t="shared" si="13"/>
        <v>5.4742487158845003</v>
      </c>
      <c r="G36" s="24">
        <f t="shared" si="13"/>
        <v>-18.385390271161043</v>
      </c>
      <c r="H36" s="24">
        <f t="shared" si="13"/>
        <v>19.508727234551383</v>
      </c>
      <c r="I36" s="24">
        <f t="shared" si="13"/>
        <v>-27.361281724243625</v>
      </c>
      <c r="J36" s="24">
        <f t="shared" si="13"/>
        <v>-35.344638057165461</v>
      </c>
      <c r="K36" s="24">
        <f t="shared" si="13"/>
        <v>62.317157196588326</v>
      </c>
      <c r="L36" s="24">
        <f t="shared" si="13"/>
        <v>59.88837663889003</v>
      </c>
    </row>
    <row r="37" spans="1:13" s="18" customFormat="1" outlineLevel="1" x14ac:dyDescent="0.3">
      <c r="B37" s="18" t="s">
        <v>75</v>
      </c>
      <c r="C37" s="26"/>
      <c r="D37" s="21">
        <f>IFERROR((D36/C36)-1,0)</f>
        <v>-1.7701224394200383</v>
      </c>
      <c r="E37" s="21">
        <f t="shared" ref="E37:L37" si="14">IFERROR((E36/D36)-1,0)</f>
        <v>-0.69706035993052762</v>
      </c>
      <c r="F37" s="21">
        <f t="shared" si="14"/>
        <v>-1.5786590471210467</v>
      </c>
      <c r="G37" s="21">
        <f t="shared" si="14"/>
        <v>-4.3585230093423748</v>
      </c>
      <c r="H37" s="21">
        <f t="shared" si="14"/>
        <v>-2.061099435302844</v>
      </c>
      <c r="I37" s="21">
        <f t="shared" si="14"/>
        <v>-2.4025149562696635</v>
      </c>
      <c r="J37" s="21">
        <f t="shared" si="14"/>
        <v>0.29177567094191126</v>
      </c>
      <c r="K37" s="21">
        <f t="shared" si="14"/>
        <v>-2.7631290238648996</v>
      </c>
      <c r="L37" s="21">
        <f t="shared" si="14"/>
        <v>-3.8974508256792939E-2</v>
      </c>
    </row>
    <row r="38" spans="1:13" outlineLevel="1" x14ac:dyDescent="0.3"/>
    <row r="39" spans="1:13" outlineLevel="1" x14ac:dyDescent="0.3">
      <c r="B39" s="2" t="s">
        <v>74</v>
      </c>
      <c r="C39" s="22">
        <f>IFERROR('Data Sheet'!B31/'Historical FS'!C34,0)</f>
        <v>0.20000410456008927</v>
      </c>
      <c r="D39" s="22">
        <f>IFERROR('Data Sheet'!C31/'Historical FS'!D34,0)</f>
        <v>0</v>
      </c>
      <c r="E39" s="22">
        <f>IFERROR('Data Sheet'!D31/'Historical FS'!E34,0)</f>
        <v>0</v>
      </c>
      <c r="F39" s="22">
        <f>IFERROR('Data Sheet'!E31/'Historical FS'!F34,0)</f>
        <v>0</v>
      </c>
      <c r="G39" s="22">
        <f>IFERROR('Data Sheet'!F31/'Historical FS'!G34,0)</f>
        <v>0</v>
      </c>
      <c r="H39" s="22">
        <f>IFERROR('Data Sheet'!G31/'Historical FS'!H34,0)</f>
        <v>0</v>
      </c>
      <c r="I39" s="22">
        <f>IFERROR('Data Sheet'!H31/'Historical FS'!I34,0)</f>
        <v>0</v>
      </c>
      <c r="J39" s="22">
        <f>IFERROR('Data Sheet'!I31/'Historical FS'!J34,0)</f>
        <v>2.000001451138099</v>
      </c>
      <c r="K39" s="22">
        <f>IFERROR('Data Sheet'!J31/'Historical FS'!K34,0)</f>
        <v>6.0039265883410691</v>
      </c>
      <c r="L39" s="22">
        <f>IFERROR('Data Sheet'!K31/'Historical FS'!L34,0)</f>
        <v>5.9978017697949459</v>
      </c>
    </row>
    <row r="40" spans="1:13" s="18" customFormat="1" outlineLevel="1" x14ac:dyDescent="0.3">
      <c r="B40" s="18" t="s">
        <v>76</v>
      </c>
      <c r="C40" s="21">
        <f>IFERROR(C39/C36,0)</f>
        <v>4.9323400874633555E-3</v>
      </c>
      <c r="D40" s="21">
        <f t="shared" ref="D40:L40" si="15">IFERROR(D39/D36,0)</f>
        <v>0</v>
      </c>
      <c r="E40" s="21">
        <f t="shared" si="15"/>
        <v>0</v>
      </c>
      <c r="F40" s="21">
        <f t="shared" si="15"/>
        <v>0</v>
      </c>
      <c r="G40" s="21">
        <f t="shared" si="15"/>
        <v>0</v>
      </c>
      <c r="H40" s="21">
        <f t="shared" si="15"/>
        <v>0</v>
      </c>
      <c r="I40" s="21">
        <f t="shared" si="15"/>
        <v>0</v>
      </c>
      <c r="J40" s="21">
        <f t="shared" si="15"/>
        <v>-5.658571033895865E-2</v>
      </c>
      <c r="K40" s="21">
        <f t="shared" si="15"/>
        <v>9.6344680316543155E-2</v>
      </c>
      <c r="L40" s="21">
        <f t="shared" si="15"/>
        <v>0.10014968022860252</v>
      </c>
    </row>
    <row r="41" spans="1:13" outlineLevel="1" x14ac:dyDescent="0.3"/>
    <row r="42" spans="1:13" outlineLevel="1" x14ac:dyDescent="0.3">
      <c r="B42" s="2" t="s">
        <v>77</v>
      </c>
      <c r="C42" s="4">
        <f>IFERROR(IF(C36&gt;C39,1-C40,0),0)</f>
        <v>0.99506765991253665</v>
      </c>
      <c r="D42" s="4">
        <f t="shared" ref="D42:L42" si="16">IFERROR(IF(D36&gt;D39,1-D40,0),0)</f>
        <v>0</v>
      </c>
      <c r="E42" s="4">
        <f t="shared" si="16"/>
        <v>0</v>
      </c>
      <c r="F42" s="4">
        <f t="shared" si="16"/>
        <v>1</v>
      </c>
      <c r="G42" s="4">
        <f t="shared" si="16"/>
        <v>0</v>
      </c>
      <c r="H42" s="4">
        <f t="shared" si="16"/>
        <v>1</v>
      </c>
      <c r="I42" s="4">
        <f t="shared" si="16"/>
        <v>0</v>
      </c>
      <c r="J42" s="4">
        <f t="shared" si="16"/>
        <v>0</v>
      </c>
      <c r="K42" s="4">
        <f t="shared" si="16"/>
        <v>0.9036553196834568</v>
      </c>
      <c r="L42" s="4">
        <f t="shared" si="16"/>
        <v>0.89985031977139751</v>
      </c>
    </row>
    <row r="44" spans="1:13" s="31" customFormat="1" x14ac:dyDescent="0.3">
      <c r="A44" s="32" t="s">
        <v>57</v>
      </c>
      <c r="B44" s="33" t="s">
        <v>78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</row>
    <row r="45" spans="1:13" outlineLevel="1" x14ac:dyDescent="0.3">
      <c r="B45" t="s">
        <v>11</v>
      </c>
      <c r="C45" s="24">
        <f>IFERROR('Data Sheet'!B57,0)</f>
        <v>679.18</v>
      </c>
      <c r="D45" s="24">
        <f>IFERROR('Data Sheet'!C57,0)</f>
        <v>679.22</v>
      </c>
      <c r="E45" s="24">
        <f>IFERROR('Data Sheet'!D57,0)</f>
        <v>679.22</v>
      </c>
      <c r="F45" s="24">
        <f>IFERROR('Data Sheet'!E57,0)</f>
        <v>679.22</v>
      </c>
      <c r="G45" s="24">
        <f>IFERROR('Data Sheet'!F57,0)</f>
        <v>719.54</v>
      </c>
      <c r="H45" s="24">
        <f>IFERROR('Data Sheet'!G57,0)</f>
        <v>765.81</v>
      </c>
      <c r="I45" s="24">
        <f>IFERROR('Data Sheet'!H57,0)</f>
        <v>765.88</v>
      </c>
      <c r="J45" s="24">
        <f>IFERROR('Data Sheet'!I57,0)</f>
        <v>766.02</v>
      </c>
      <c r="K45" s="24">
        <f>IFERROR('Data Sheet'!J57,0)</f>
        <v>767</v>
      </c>
      <c r="L45" s="24">
        <f>IFERROR('Data Sheet'!K57,0)</f>
        <v>736</v>
      </c>
    </row>
    <row r="46" spans="1:13" outlineLevel="1" x14ac:dyDescent="0.3">
      <c r="B46" t="s">
        <v>12</v>
      </c>
      <c r="C46" s="24">
        <f>IFERROR('Data Sheet'!B58,0)</f>
        <v>78273.23</v>
      </c>
      <c r="D46" s="24">
        <f>IFERROR('Data Sheet'!C58,0)</f>
        <v>57382.67</v>
      </c>
      <c r="E46" s="24">
        <f>IFERROR('Data Sheet'!D58,0)</f>
        <v>94748.69</v>
      </c>
      <c r="F46" s="24">
        <f>IFERROR('Data Sheet'!E58,0)</f>
        <v>59500.34</v>
      </c>
      <c r="G46" s="24">
        <f>IFERROR('Data Sheet'!F58,0)</f>
        <v>62358.99</v>
      </c>
      <c r="H46" s="24">
        <f>IFERROR('Data Sheet'!G58,0)</f>
        <v>54480.91</v>
      </c>
      <c r="I46" s="24">
        <f>IFERROR('Data Sheet'!H58,0)</f>
        <v>43795.360000000001</v>
      </c>
      <c r="J46" s="24">
        <f>IFERROR('Data Sheet'!I58,0)</f>
        <v>44555.77</v>
      </c>
      <c r="K46" s="24">
        <f>IFERROR('Data Sheet'!J58,0)</f>
        <v>84151</v>
      </c>
      <c r="L46" s="24">
        <f>IFERROR('Data Sheet'!K58,0)</f>
        <v>115408</v>
      </c>
    </row>
    <row r="47" spans="1:13" outlineLevel="1" x14ac:dyDescent="0.3">
      <c r="B47" t="s">
        <v>36</v>
      </c>
      <c r="C47" s="24">
        <f>IFERROR('Data Sheet'!B59,0)</f>
        <v>69359.960000000006</v>
      </c>
      <c r="D47" s="24">
        <f>IFERROR('Data Sheet'!C59,0)</f>
        <v>78603.98</v>
      </c>
      <c r="E47" s="24">
        <f>IFERROR('Data Sheet'!D59,0)</f>
        <v>88950.47</v>
      </c>
      <c r="F47" s="24">
        <f>IFERROR('Data Sheet'!E59,0)</f>
        <v>106175.34</v>
      </c>
      <c r="G47" s="24">
        <f>IFERROR('Data Sheet'!F59,0)</f>
        <v>124787.64</v>
      </c>
      <c r="H47" s="24">
        <f>IFERROR('Data Sheet'!G59,0)</f>
        <v>142130.57</v>
      </c>
      <c r="I47" s="24">
        <f>IFERROR('Data Sheet'!H59,0)</f>
        <v>146449.03</v>
      </c>
      <c r="J47" s="24">
        <f>IFERROR('Data Sheet'!I59,0)</f>
        <v>134113.44</v>
      </c>
      <c r="K47" s="24">
        <f>IFERROR('Data Sheet'!J59,0)</f>
        <v>107264</v>
      </c>
      <c r="L47" s="24">
        <f>IFERROR('Data Sheet'!K59,0)</f>
        <v>71540</v>
      </c>
    </row>
    <row r="48" spans="1:13" outlineLevel="1" x14ac:dyDescent="0.3">
      <c r="B48" t="s">
        <v>37</v>
      </c>
      <c r="C48" s="24">
        <f>IFERROR('Data Sheet'!B60,0)</f>
        <v>114871.75</v>
      </c>
      <c r="D48" s="24">
        <f>IFERROR('Data Sheet'!C60,0)</f>
        <v>135914.49</v>
      </c>
      <c r="E48" s="24">
        <f>IFERROR('Data Sheet'!D60,0)</f>
        <v>142813.43</v>
      </c>
      <c r="F48" s="24">
        <f>IFERROR('Data Sheet'!E60,0)</f>
        <v>139348.59</v>
      </c>
      <c r="G48" s="24">
        <f>IFERROR('Data Sheet'!F60,0)</f>
        <v>132313.22</v>
      </c>
      <c r="H48" s="24">
        <f>IFERROR('Data Sheet'!G60,0)</f>
        <v>144192.62</v>
      </c>
      <c r="I48" s="24">
        <f>IFERROR('Data Sheet'!H60,0)</f>
        <v>138051.22</v>
      </c>
      <c r="J48" s="24">
        <f>IFERROR('Data Sheet'!I60,0)</f>
        <v>155239.20000000001</v>
      </c>
      <c r="K48" s="24">
        <f>IFERROR('Data Sheet'!J60,0)</f>
        <v>177339</v>
      </c>
      <c r="L48" s="24">
        <f>IFERROR('Data Sheet'!K60,0)</f>
        <v>189289</v>
      </c>
    </row>
    <row r="49" spans="2:12" s="2" customFormat="1" ht="13.8" customHeight="1" outlineLevel="1" x14ac:dyDescent="0.3">
      <c r="B49" s="2" t="s">
        <v>83</v>
      </c>
      <c r="C49" s="27">
        <f>IFERROR('Data Sheet'!B61,0)</f>
        <v>263184.12</v>
      </c>
      <c r="D49" s="27">
        <f>IFERROR('Data Sheet'!C61,0)</f>
        <v>272580.36</v>
      </c>
      <c r="E49" s="27">
        <f>IFERROR('Data Sheet'!D61,0)</f>
        <v>327191.81</v>
      </c>
      <c r="F49" s="27">
        <f>IFERROR('Data Sheet'!E61,0)</f>
        <v>305703.49</v>
      </c>
      <c r="G49" s="27">
        <f>IFERROR('Data Sheet'!F61,0)</f>
        <v>320179.39</v>
      </c>
      <c r="H49" s="27">
        <f>IFERROR('Data Sheet'!G61,0)</f>
        <v>341569.91</v>
      </c>
      <c r="I49" s="27">
        <f>IFERROR('Data Sheet'!H61,0)</f>
        <v>329061.49</v>
      </c>
      <c r="J49" s="27">
        <f>IFERROR('Data Sheet'!I61,0)</f>
        <v>334674.43</v>
      </c>
      <c r="K49" s="27">
        <f>IFERROR('Data Sheet'!J61,0)</f>
        <v>369521</v>
      </c>
      <c r="L49" s="27">
        <f>IFERROR('Data Sheet'!K61,0)</f>
        <v>376973</v>
      </c>
    </row>
    <row r="50" spans="2:12" outlineLevel="1" x14ac:dyDescent="0.3"/>
    <row r="51" spans="2:12" outlineLevel="1" x14ac:dyDescent="0.3">
      <c r="B51" t="s">
        <v>80</v>
      </c>
      <c r="C51" s="24">
        <f>IFERROR('Data Sheet'!B62,0)</f>
        <v>107231.76</v>
      </c>
      <c r="D51" s="24">
        <f>IFERROR('Data Sheet'!C62,0)</f>
        <v>95944.08</v>
      </c>
      <c r="E51" s="24">
        <f>IFERROR('Data Sheet'!D62,0)</f>
        <v>121413.86</v>
      </c>
      <c r="F51" s="24">
        <f>IFERROR('Data Sheet'!E62,0)</f>
        <v>111234.47</v>
      </c>
      <c r="G51" s="24">
        <f>IFERROR('Data Sheet'!F62,0)</f>
        <v>127107.14</v>
      </c>
      <c r="H51" s="24">
        <f>IFERROR('Data Sheet'!G62,0)</f>
        <v>138707.60999999999</v>
      </c>
      <c r="I51" s="24">
        <f>IFERROR('Data Sheet'!H62,0)</f>
        <v>138855.45000000001</v>
      </c>
      <c r="J51" s="24">
        <f>IFERROR('Data Sheet'!I62,0)</f>
        <v>132079.76</v>
      </c>
      <c r="K51" s="24">
        <f>IFERROR('Data Sheet'!J62,0)</f>
        <v>121285</v>
      </c>
      <c r="L51" s="24">
        <f>IFERROR('Data Sheet'!K62,0)</f>
        <v>115697</v>
      </c>
    </row>
    <row r="52" spans="2:12" outlineLevel="1" x14ac:dyDescent="0.3">
      <c r="B52" t="s">
        <v>15</v>
      </c>
      <c r="C52" s="24">
        <f>IFERROR('Data Sheet'!B63,0)</f>
        <v>25918.94</v>
      </c>
      <c r="D52" s="24">
        <f>IFERROR('Data Sheet'!C63,0)</f>
        <v>33698.839999999997</v>
      </c>
      <c r="E52" s="24">
        <f>IFERROR('Data Sheet'!D63,0)</f>
        <v>40033.5</v>
      </c>
      <c r="F52" s="24">
        <f>IFERROR('Data Sheet'!E63,0)</f>
        <v>31883.84</v>
      </c>
      <c r="G52" s="24">
        <f>IFERROR('Data Sheet'!F63,0)</f>
        <v>35622.29</v>
      </c>
      <c r="H52" s="24">
        <f>IFERROR('Data Sheet'!G63,0)</f>
        <v>20963.93</v>
      </c>
      <c r="I52" s="24">
        <f>IFERROR('Data Sheet'!H63,0)</f>
        <v>10251.09</v>
      </c>
      <c r="J52" s="24">
        <f>IFERROR('Data Sheet'!I63,0)</f>
        <v>14274.5</v>
      </c>
      <c r="K52" s="24">
        <f>IFERROR('Data Sheet'!J63,0)</f>
        <v>35698</v>
      </c>
      <c r="L52" s="24">
        <f>IFERROR('Data Sheet'!K63,0)</f>
        <v>65806</v>
      </c>
    </row>
    <row r="53" spans="2:12" outlineLevel="1" x14ac:dyDescent="0.3">
      <c r="B53" t="s">
        <v>16</v>
      </c>
      <c r="C53" s="24">
        <f>IFERROR('Data Sheet'!B64,0)</f>
        <v>23767.02</v>
      </c>
      <c r="D53" s="24">
        <f>IFERROR('Data Sheet'!C64,0)</f>
        <v>20337.919999999998</v>
      </c>
      <c r="E53" s="24">
        <f>IFERROR('Data Sheet'!D64,0)</f>
        <v>20812.75</v>
      </c>
      <c r="F53" s="24">
        <f>IFERROR('Data Sheet'!E64,0)</f>
        <v>15770.72</v>
      </c>
      <c r="G53" s="24">
        <f>IFERROR('Data Sheet'!F64,0)</f>
        <v>16308.48</v>
      </c>
      <c r="H53" s="24">
        <f>IFERROR('Data Sheet'!G64,0)</f>
        <v>24620.28</v>
      </c>
      <c r="I53" s="24">
        <f>IFERROR('Data Sheet'!H64,0)</f>
        <v>29379.53</v>
      </c>
      <c r="J53" s="24">
        <f>IFERROR('Data Sheet'!I64,0)</f>
        <v>26379.16</v>
      </c>
      <c r="K53" s="24">
        <f>IFERROR('Data Sheet'!J64,0)</f>
        <v>22971</v>
      </c>
      <c r="L53" s="24">
        <f>IFERROR('Data Sheet'!K64,0)</f>
        <v>35656</v>
      </c>
    </row>
    <row r="54" spans="2:12" outlineLevel="1" x14ac:dyDescent="0.3">
      <c r="B54" t="s">
        <v>38</v>
      </c>
      <c r="C54" s="24">
        <f>IFERROR('Data Sheet'!B65,0)</f>
        <v>106266.4</v>
      </c>
      <c r="D54" s="24">
        <f>IFERROR('Data Sheet'!C65,0)</f>
        <v>122599.52</v>
      </c>
      <c r="E54" s="24">
        <f>IFERROR('Data Sheet'!D65,0)</f>
        <v>144931.70000000001</v>
      </c>
      <c r="F54" s="24">
        <f>IFERROR('Data Sheet'!E65,0)</f>
        <v>146814.46</v>
      </c>
      <c r="G54" s="24">
        <f>IFERROR('Data Sheet'!F65,0)</f>
        <v>141141.48000000001</v>
      </c>
      <c r="H54" s="24">
        <f>IFERROR('Data Sheet'!G65,0)</f>
        <v>157278.09</v>
      </c>
      <c r="I54" s="24">
        <f>IFERROR('Data Sheet'!H65,0)</f>
        <v>150575.42000000001</v>
      </c>
      <c r="J54" s="24">
        <f>IFERROR('Data Sheet'!I65,0)</f>
        <v>161941.01</v>
      </c>
      <c r="K54" s="24">
        <f>IFERROR('Data Sheet'!J65,0)</f>
        <v>189567</v>
      </c>
      <c r="L54" s="24">
        <f>IFERROR('Data Sheet'!K65,0)</f>
        <v>159814</v>
      </c>
    </row>
    <row r="55" spans="2:12" s="2" customFormat="1" outlineLevel="1" x14ac:dyDescent="0.3">
      <c r="B55" s="2" t="s">
        <v>81</v>
      </c>
      <c r="C55" s="27">
        <f>IFERROR(SUM('Data Sheet'!B62:B65)-SUM('Data Sheet'!B67:B69),0)</f>
        <v>186497.08</v>
      </c>
      <c r="D55" s="27">
        <f>IFERROR(SUM('Data Sheet'!C62:C65)-SUM('Data Sheet'!C67:C69),0)</f>
        <v>187341.62</v>
      </c>
      <c r="E55" s="27">
        <f>IFERROR(SUM('Data Sheet'!D62:D65)-SUM('Data Sheet'!D67:D69),0)</f>
        <v>230546.97</v>
      </c>
      <c r="F55" s="27">
        <f>IFERROR(SUM('Data Sheet'!E62:E65)-SUM('Data Sheet'!E67:E69),0)</f>
        <v>215044.77</v>
      </c>
      <c r="G55" s="27">
        <f>IFERROR(SUM('Data Sheet'!F62:F65)-SUM('Data Sheet'!F67:F69),0)</f>
        <v>237822.85</v>
      </c>
      <c r="H55" s="27">
        <f>IFERROR(SUM('Data Sheet'!G62:G65)-SUM('Data Sheet'!G67:G69),0)</f>
        <v>246009.77999999997</v>
      </c>
      <c r="I55" s="27">
        <f>IFERROR(SUM('Data Sheet'!H62:H65)-SUM('Data Sheet'!H67:H69),0)</f>
        <v>240709.84</v>
      </c>
      <c r="J55" s="27">
        <f>IFERROR(SUM('Data Sheet'!I62:I65)-SUM('Data Sheet'!I67:I69),0)</f>
        <v>241165.51000000007</v>
      </c>
      <c r="K55" s="27">
        <f>IFERROR(SUM('Data Sheet'!J62:J65)-SUM('Data Sheet'!J67:J69),0)</f>
        <v>258974</v>
      </c>
      <c r="L55" s="27">
        <f>IFERROR(SUM('Data Sheet'!K62:K65)-SUM('Data Sheet'!K67:K69),0)</f>
        <v>275622</v>
      </c>
    </row>
    <row r="56" spans="2:12" outlineLevel="1" x14ac:dyDescent="0.3">
      <c r="B56" s="2"/>
    </row>
    <row r="57" spans="2:12" outlineLevel="1" x14ac:dyDescent="0.3">
      <c r="B57" t="s">
        <v>43</v>
      </c>
      <c r="C57" s="24">
        <f>IFERROR('Data Sheet'!B67,0)</f>
        <v>13570.91</v>
      </c>
      <c r="D57" s="24">
        <f>IFERROR('Data Sheet'!C67,0)</f>
        <v>14075.55</v>
      </c>
      <c r="E57" s="24">
        <f>IFERROR('Data Sheet'!D67,0)</f>
        <v>19893.3</v>
      </c>
      <c r="F57" s="24">
        <f>IFERROR('Data Sheet'!E67,0)</f>
        <v>18996.169999999998</v>
      </c>
      <c r="G57" s="24">
        <f>IFERROR('Data Sheet'!F67,0)</f>
        <v>11172.69</v>
      </c>
      <c r="H57" s="24">
        <f>IFERROR('Data Sheet'!G67,0)</f>
        <v>12679.08</v>
      </c>
      <c r="I57" s="24">
        <f>IFERROR('Data Sheet'!H67,0)</f>
        <v>12442.12</v>
      </c>
      <c r="J57" s="24">
        <f>IFERROR('Data Sheet'!I67,0)</f>
        <v>15737.97</v>
      </c>
      <c r="K57" s="24">
        <f>IFERROR('Data Sheet'!J67,0)</f>
        <v>16952</v>
      </c>
      <c r="L57" s="24">
        <f>IFERROR('Data Sheet'!K67,0)</f>
        <v>13248</v>
      </c>
    </row>
    <row r="58" spans="2:12" outlineLevel="1" x14ac:dyDescent="0.3">
      <c r="B58" t="s">
        <v>30</v>
      </c>
      <c r="C58" s="24">
        <f>IFERROR('Data Sheet'!B68,0)</f>
        <v>32655.73</v>
      </c>
      <c r="D58" s="24">
        <f>IFERROR('Data Sheet'!C68,0)</f>
        <v>35085.31</v>
      </c>
      <c r="E58" s="24">
        <f>IFERROR('Data Sheet'!D68,0)</f>
        <v>42137.63</v>
      </c>
      <c r="F58" s="24">
        <f>IFERROR('Data Sheet'!E68,0)</f>
        <v>39013.730000000003</v>
      </c>
      <c r="G58" s="24">
        <f>IFERROR('Data Sheet'!F68,0)</f>
        <v>37456.879999999997</v>
      </c>
      <c r="H58" s="24">
        <f>IFERROR('Data Sheet'!G68,0)</f>
        <v>36088.589999999997</v>
      </c>
      <c r="I58" s="24">
        <f>IFERROR('Data Sheet'!H68,0)</f>
        <v>35240.339999999997</v>
      </c>
      <c r="J58" s="24">
        <f>IFERROR('Data Sheet'!I68,0)</f>
        <v>40755.39</v>
      </c>
      <c r="K58" s="24">
        <f>IFERROR('Data Sheet'!J68,0)</f>
        <v>47788</v>
      </c>
      <c r="L58" s="24">
        <f>IFERROR('Data Sheet'!K68,0)</f>
        <v>47269</v>
      </c>
    </row>
    <row r="59" spans="2:12" outlineLevel="1" x14ac:dyDescent="0.3">
      <c r="B59" t="s">
        <v>52</v>
      </c>
      <c r="C59" s="24">
        <f>IFERROR('Data Sheet'!B69,0)</f>
        <v>30460.400000000001</v>
      </c>
      <c r="D59" s="24">
        <f>IFERROR('Data Sheet'!C69,0)</f>
        <v>36077.879999999997</v>
      </c>
      <c r="E59" s="24">
        <f>IFERROR('Data Sheet'!D69,0)</f>
        <v>34613.910000000003</v>
      </c>
      <c r="F59" s="24">
        <f>IFERROR('Data Sheet'!E69,0)</f>
        <v>32648.82</v>
      </c>
      <c r="G59" s="24">
        <f>IFERROR('Data Sheet'!F69,0)</f>
        <v>33726.97</v>
      </c>
      <c r="H59" s="24">
        <f>IFERROR('Data Sheet'!G69,0)</f>
        <v>46792.46</v>
      </c>
      <c r="I59" s="24">
        <f>IFERROR('Data Sheet'!H69,0)</f>
        <v>40669.19</v>
      </c>
      <c r="J59" s="24">
        <f>IFERROR('Data Sheet'!I69,0)</f>
        <v>37015.56</v>
      </c>
      <c r="K59" s="24">
        <f>IFERROR('Data Sheet'!J69,0)</f>
        <v>45807</v>
      </c>
      <c r="L59" s="24">
        <f>IFERROR('Data Sheet'!K69,0)</f>
        <v>40834</v>
      </c>
    </row>
    <row r="60" spans="2:12" s="2" customFormat="1" outlineLevel="1" x14ac:dyDescent="0.3">
      <c r="B60" s="2" t="s">
        <v>82</v>
      </c>
      <c r="C60" s="27">
        <f>IFERROR(SUM(C57:C59),0)</f>
        <v>76687.040000000008</v>
      </c>
      <c r="D60" s="27">
        <f t="shared" ref="D60:L60" si="17">IFERROR(SUM(D57:D59),0)</f>
        <v>85238.739999999991</v>
      </c>
      <c r="E60" s="27">
        <f t="shared" si="17"/>
        <v>96644.84</v>
      </c>
      <c r="F60" s="27">
        <f t="shared" si="17"/>
        <v>90658.72</v>
      </c>
      <c r="G60" s="27">
        <f t="shared" si="17"/>
        <v>82356.540000000008</v>
      </c>
      <c r="H60" s="27">
        <f t="shared" si="17"/>
        <v>95560.13</v>
      </c>
      <c r="I60" s="27">
        <f t="shared" si="17"/>
        <v>88351.65</v>
      </c>
      <c r="J60" s="27">
        <f t="shared" si="17"/>
        <v>93508.92</v>
      </c>
      <c r="K60" s="27">
        <f t="shared" si="17"/>
        <v>110547</v>
      </c>
      <c r="L60" s="27">
        <f t="shared" si="17"/>
        <v>101351</v>
      </c>
    </row>
    <row r="61" spans="2:12" outlineLevel="1" x14ac:dyDescent="0.3"/>
    <row r="62" spans="2:12" s="2" customFormat="1" outlineLevel="1" x14ac:dyDescent="0.3">
      <c r="B62" s="2" t="s">
        <v>79</v>
      </c>
      <c r="C62" s="27">
        <f>IFERROR(SUM(C55,C60),0)</f>
        <v>263184.12</v>
      </c>
      <c r="D62" s="27">
        <f t="shared" ref="D62:L62" si="18">IFERROR(SUM(D55,D60),0)</f>
        <v>272580.36</v>
      </c>
      <c r="E62" s="27">
        <f t="shared" si="18"/>
        <v>327191.81</v>
      </c>
      <c r="F62" s="27">
        <f t="shared" si="18"/>
        <v>305703.49</v>
      </c>
      <c r="G62" s="27">
        <f t="shared" si="18"/>
        <v>320179.39</v>
      </c>
      <c r="H62" s="27">
        <f t="shared" si="18"/>
        <v>341569.91</v>
      </c>
      <c r="I62" s="27">
        <f t="shared" si="18"/>
        <v>329061.49</v>
      </c>
      <c r="J62" s="27">
        <f t="shared" si="18"/>
        <v>334674.43000000005</v>
      </c>
      <c r="K62" s="27">
        <f t="shared" si="18"/>
        <v>369521</v>
      </c>
      <c r="L62" s="27">
        <f t="shared" si="18"/>
        <v>376973</v>
      </c>
    </row>
    <row r="63" spans="2:12" outlineLevel="1" x14ac:dyDescent="0.3"/>
    <row r="64" spans="2:12" s="28" customFormat="1" outlineLevel="1" x14ac:dyDescent="0.3">
      <c r="B64" s="28" t="s">
        <v>84</v>
      </c>
      <c r="C64" s="28" t="b">
        <f>IF(C62=C49,TRUE,FALSE)</f>
        <v>1</v>
      </c>
      <c r="D64" s="28" t="b">
        <f t="shared" ref="D64:L64" si="19">IF(D62=D49,TRUE,FALSE)</f>
        <v>1</v>
      </c>
      <c r="E64" s="28" t="b">
        <f t="shared" si="19"/>
        <v>1</v>
      </c>
      <c r="F64" s="28" t="b">
        <f t="shared" si="19"/>
        <v>1</v>
      </c>
      <c r="G64" s="28" t="b">
        <f t="shared" si="19"/>
        <v>1</v>
      </c>
      <c r="H64" s="28" t="b">
        <f t="shared" si="19"/>
        <v>1</v>
      </c>
      <c r="I64" s="28" t="b">
        <f t="shared" si="19"/>
        <v>1</v>
      </c>
      <c r="J64" s="28" t="b">
        <f t="shared" si="19"/>
        <v>1</v>
      </c>
      <c r="K64" s="28" t="b">
        <f t="shared" si="19"/>
        <v>1</v>
      </c>
      <c r="L64" s="28" t="b">
        <f t="shared" si="19"/>
        <v>1</v>
      </c>
    </row>
    <row r="66" spans="1:13" s="2" customFormat="1" x14ac:dyDescent="0.3">
      <c r="A66" s="33" t="s">
        <v>57</v>
      </c>
      <c r="B66" s="33" t="s">
        <v>114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hidden="1" outlineLevel="1" x14ac:dyDescent="0.3">
      <c r="B67" s="2" t="s">
        <v>115</v>
      </c>
    </row>
    <row r="68" spans="1:13" hidden="1" outlineLevel="1" x14ac:dyDescent="0.3">
      <c r="B68" t="s">
        <v>86</v>
      </c>
      <c r="C68" s="24">
        <f>IFERROR('Cashflow Data'!E4,0)</f>
        <v>3502</v>
      </c>
      <c r="D68" s="24">
        <f>IFERROR('Cashflow Data'!F4,0)</f>
        <v>1662</v>
      </c>
      <c r="E68" s="24">
        <f>IFERROR('Cashflow Data'!G4,0)</f>
        <v>4091</v>
      </c>
      <c r="F68" s="24">
        <f>IFERROR('Cashflow Data'!H4,0)</f>
        <v>6167</v>
      </c>
      <c r="G68" s="24">
        <f>IFERROR('Cashflow Data'!I4,0)</f>
        <v>439</v>
      </c>
      <c r="H68" s="24">
        <f>IFERROR('Cashflow Data'!J4,0)</f>
        <v>1961</v>
      </c>
      <c r="I68" s="24">
        <f>IFERROR('Cashflow Data'!K4,0)</f>
        <v>2683</v>
      </c>
      <c r="J68" s="24">
        <f>IFERROR('Cashflow Data'!L4,0)</f>
        <v>5010</v>
      </c>
      <c r="K68" s="24">
        <f>IFERROR('Cashflow Data'!M4,0)</f>
        <v>8523</v>
      </c>
      <c r="L68" s="24">
        <f>IFERROR('Cashflow Data'!N4,0)</f>
        <v>8615</v>
      </c>
    </row>
    <row r="69" spans="1:13" hidden="1" outlineLevel="1" x14ac:dyDescent="0.3">
      <c r="B69" t="s">
        <v>43</v>
      </c>
      <c r="C69" s="24">
        <f>IFERROR('Cashflow Data'!E5,0)</f>
        <v>-678</v>
      </c>
      <c r="D69" s="24">
        <f>IFERROR('Cashflow Data'!F5,0)</f>
        <v>-199</v>
      </c>
      <c r="E69" s="24">
        <f>IFERROR('Cashflow Data'!G5,0)</f>
        <v>-1217</v>
      </c>
      <c r="F69" s="24">
        <f>IFERROR('Cashflow Data'!H5,0)</f>
        <v>164</v>
      </c>
      <c r="G69" s="24">
        <f>IFERROR('Cashflow Data'!I5,0)</f>
        <v>1168</v>
      </c>
      <c r="H69" s="24">
        <f>IFERROR('Cashflow Data'!J5,0)</f>
        <v>-142</v>
      </c>
      <c r="I69" s="24">
        <f>IFERROR('Cashflow Data'!K5,0)</f>
        <v>-1016</v>
      </c>
      <c r="J69" s="24">
        <f>IFERROR('Cashflow Data'!L5,0)</f>
        <v>-306</v>
      </c>
      <c r="K69" s="24">
        <f>IFERROR('Cashflow Data'!M5,0)</f>
        <v>-553</v>
      </c>
      <c r="L69" s="24">
        <f>IFERROR('Cashflow Data'!N5,0)</f>
        <v>388</v>
      </c>
    </row>
    <row r="70" spans="1:13" hidden="1" outlineLevel="1" x14ac:dyDescent="0.3">
      <c r="B70" t="s">
        <v>30</v>
      </c>
      <c r="C70" s="24">
        <f>IFERROR('Cashflow Data'!E6,0)</f>
        <v>-235</v>
      </c>
      <c r="D70" s="24">
        <f>IFERROR('Cashflow Data'!F6,0)</f>
        <v>-572</v>
      </c>
      <c r="E70" s="24">
        <f>IFERROR('Cashflow Data'!G6,0)</f>
        <v>-278</v>
      </c>
      <c r="F70" s="24">
        <f>IFERROR('Cashflow Data'!H6,0)</f>
        <v>966</v>
      </c>
      <c r="G70" s="24">
        <f>IFERROR('Cashflow Data'!I6,0)</f>
        <v>730</v>
      </c>
      <c r="H70" s="24">
        <f>IFERROR('Cashflow Data'!J6,0)</f>
        <v>-765</v>
      </c>
      <c r="I70" s="24">
        <f>IFERROR('Cashflow Data'!K6,0)</f>
        <v>-1201</v>
      </c>
      <c r="J70" s="24">
        <f>IFERROR('Cashflow Data'!L6,0)</f>
        <v>658</v>
      </c>
      <c r="K70" s="24">
        <f>IFERROR('Cashflow Data'!M6,0)</f>
        <v>-541</v>
      </c>
      <c r="L70" s="24">
        <f>IFERROR('Cashflow Data'!N6,0)</f>
        <v>257</v>
      </c>
    </row>
    <row r="71" spans="1:13" hidden="1" outlineLevel="1" x14ac:dyDescent="0.3">
      <c r="B71" t="s">
        <v>87</v>
      </c>
      <c r="C71" s="24">
        <f>IFERROR('Cashflow Data'!E7,0)</f>
        <v>76</v>
      </c>
      <c r="D71" s="24">
        <f>IFERROR('Cashflow Data'!F7,0)</f>
        <v>2314</v>
      </c>
      <c r="E71" s="24">
        <f>IFERROR('Cashflow Data'!G7,0)</f>
        <v>2764</v>
      </c>
      <c r="F71" s="24">
        <f>IFERROR('Cashflow Data'!H7,0)</f>
        <v>-725</v>
      </c>
      <c r="G71" s="24">
        <f>IFERROR('Cashflow Data'!I7,0)</f>
        <v>-2689</v>
      </c>
      <c r="H71" s="24">
        <f>IFERROR('Cashflow Data'!J7,0)</f>
        <v>4965</v>
      </c>
      <c r="I71" s="24">
        <f>IFERROR('Cashflow Data'!K7,0)</f>
        <v>5285</v>
      </c>
      <c r="J71" s="24">
        <f>IFERROR('Cashflow Data'!L7,0)</f>
        <v>-957</v>
      </c>
      <c r="K71" s="24">
        <f>IFERROR('Cashflow Data'!M7,0)</f>
        <v>315</v>
      </c>
      <c r="L71" s="24">
        <f>IFERROR('Cashflow Data'!N7,0)</f>
        <v>-56</v>
      </c>
    </row>
    <row r="72" spans="1:13" hidden="1" outlineLevel="1" x14ac:dyDescent="0.3">
      <c r="B72" t="s">
        <v>88</v>
      </c>
      <c r="C72" s="24">
        <f>IFERROR('Cashflow Data'!E8,0)</f>
        <v>-55</v>
      </c>
      <c r="D72" s="24">
        <f>IFERROR('Cashflow Data'!F8,0)</f>
        <v>0</v>
      </c>
      <c r="E72" s="24">
        <f>IFERROR('Cashflow Data'!G8,0)</f>
        <v>0</v>
      </c>
      <c r="F72" s="24">
        <f>IFERROR('Cashflow Data'!H8,0)</f>
        <v>0</v>
      </c>
      <c r="G72" s="24">
        <f>IFERROR('Cashflow Data'!I8,0)</f>
        <v>0</v>
      </c>
      <c r="H72" s="24">
        <f>IFERROR('Cashflow Data'!J8,0)</f>
        <v>0</v>
      </c>
      <c r="I72" s="24">
        <f>IFERROR('Cashflow Data'!K8,0)</f>
        <v>0</v>
      </c>
      <c r="J72" s="24">
        <f>IFERROR('Cashflow Data'!L8,0)</f>
        <v>0</v>
      </c>
      <c r="K72" s="24">
        <f>IFERROR('Cashflow Data'!M8,0)</f>
        <v>0</v>
      </c>
      <c r="L72" s="24">
        <f>IFERROR('Cashflow Data'!N8,0)</f>
        <v>0</v>
      </c>
    </row>
    <row r="73" spans="1:13" hidden="1" outlineLevel="1" x14ac:dyDescent="0.3">
      <c r="B73" t="s">
        <v>89</v>
      </c>
      <c r="C73" s="24">
        <f>IFERROR('Cashflow Data'!E9,0)</f>
        <v>115</v>
      </c>
      <c r="D73" s="24">
        <f>IFERROR('Cashflow Data'!F9,0)</f>
        <v>-1636</v>
      </c>
      <c r="E73" s="24">
        <f>IFERROR('Cashflow Data'!G9,0)</f>
        <v>-1217</v>
      </c>
      <c r="F73" s="24">
        <f>IFERROR('Cashflow Data'!H9,0)</f>
        <v>-97</v>
      </c>
      <c r="G73" s="24">
        <f>IFERROR('Cashflow Data'!I9,0)</f>
        <v>-1011</v>
      </c>
      <c r="H73" s="24">
        <f>IFERROR('Cashflow Data'!J9,0)</f>
        <v>725</v>
      </c>
      <c r="I73" s="24">
        <f>IFERROR('Cashflow Data'!K9,0)</f>
        <v>-314</v>
      </c>
      <c r="J73" s="24">
        <f>IFERROR('Cashflow Data'!L9,0)</f>
        <v>539</v>
      </c>
      <c r="K73" s="24">
        <f>IFERROR('Cashflow Data'!M9,0)</f>
        <v>1164</v>
      </c>
      <c r="L73" s="24">
        <f>IFERROR('Cashflow Data'!N9,0)</f>
        <v>583</v>
      </c>
    </row>
    <row r="74" spans="1:13" hidden="1" outlineLevel="1" x14ac:dyDescent="0.3">
      <c r="B74" t="s">
        <v>90</v>
      </c>
      <c r="C74" s="24">
        <f>IFERROR('Cashflow Data'!E10,0)</f>
        <v>-776</v>
      </c>
      <c r="D74" s="24">
        <f>IFERROR('Cashflow Data'!F10,0)</f>
        <v>-93</v>
      </c>
      <c r="E74" s="24">
        <f>IFERROR('Cashflow Data'!G10,0)</f>
        <v>52</v>
      </c>
      <c r="F74" s="24">
        <f>IFERROR('Cashflow Data'!H10,0)</f>
        <v>308</v>
      </c>
      <c r="G74" s="24">
        <f>IFERROR('Cashflow Data'!I10,0)</f>
        <v>-1801</v>
      </c>
      <c r="H74" s="24">
        <f>IFERROR('Cashflow Data'!J10,0)</f>
        <v>4783</v>
      </c>
      <c r="I74" s="24">
        <f>IFERROR('Cashflow Data'!K10,0)</f>
        <v>2755</v>
      </c>
      <c r="J74" s="24">
        <f>IFERROR('Cashflow Data'!L10,0)</f>
        <v>-67</v>
      </c>
      <c r="K74" s="24">
        <f>IFERROR('Cashflow Data'!M10,0)</f>
        <v>385</v>
      </c>
      <c r="L74" s="24">
        <f>IFERROR('Cashflow Data'!N10,0)</f>
        <v>1172</v>
      </c>
    </row>
    <row r="75" spans="1:13" hidden="1" outlineLevel="1" x14ac:dyDescent="0.3">
      <c r="B75" t="s">
        <v>91</v>
      </c>
      <c r="C75" s="24">
        <f>IFERROR('Cashflow Data'!E11,0)</f>
        <v>-24</v>
      </c>
      <c r="D75" s="24">
        <f>IFERROR('Cashflow Data'!F11,0)</f>
        <v>-115</v>
      </c>
      <c r="E75" s="24">
        <f>IFERROR('Cashflow Data'!G11,0)</f>
        <v>-8</v>
      </c>
      <c r="F75" s="24">
        <f>IFERROR('Cashflow Data'!H11,0)</f>
        <v>-182</v>
      </c>
      <c r="G75" s="24">
        <f>IFERROR('Cashflow Data'!I11,0)</f>
        <v>-93</v>
      </c>
      <c r="H75" s="24">
        <f>IFERROR('Cashflow Data'!J11,0)</f>
        <v>-63</v>
      </c>
      <c r="I75" s="24">
        <f>IFERROR('Cashflow Data'!K11,0)</f>
        <v>-156</v>
      </c>
      <c r="J75" s="24">
        <f>IFERROR('Cashflow Data'!L11,0)</f>
        <v>-168</v>
      </c>
      <c r="K75" s="24">
        <f>IFERROR('Cashflow Data'!M11,0)</f>
        <v>-246</v>
      </c>
      <c r="L75" s="24">
        <f>IFERROR('Cashflow Data'!N11,0)</f>
        <v>8</v>
      </c>
    </row>
    <row r="76" spans="1:13" hidden="1" outlineLevel="1" x14ac:dyDescent="0.3">
      <c r="B76" s="2" t="s">
        <v>116</v>
      </c>
      <c r="C76" s="24">
        <f>IFERROR(SUM(C68:C75),0)</f>
        <v>1925</v>
      </c>
      <c r="D76" s="24">
        <f t="shared" ref="D76:L76" si="20">IFERROR(SUM(D68:D75),0)</f>
        <v>1361</v>
      </c>
      <c r="E76" s="24">
        <f t="shared" si="20"/>
        <v>4187</v>
      </c>
      <c r="F76" s="24">
        <f t="shared" si="20"/>
        <v>6601</v>
      </c>
      <c r="G76" s="24">
        <f t="shared" si="20"/>
        <v>-3257</v>
      </c>
      <c r="H76" s="24">
        <f t="shared" si="20"/>
        <v>11464</v>
      </c>
      <c r="I76" s="24">
        <f t="shared" si="20"/>
        <v>8036</v>
      </c>
      <c r="J76" s="24">
        <f t="shared" si="20"/>
        <v>4709</v>
      </c>
      <c r="K76" s="24">
        <f t="shared" si="20"/>
        <v>9047</v>
      </c>
      <c r="L76" s="24">
        <f t="shared" si="20"/>
        <v>10967</v>
      </c>
    </row>
    <row r="77" spans="1:13" hidden="1" outlineLevel="1" x14ac:dyDescent="0.3"/>
    <row r="78" spans="1:13" hidden="1" outlineLevel="1" x14ac:dyDescent="0.3">
      <c r="B78" s="2" t="s">
        <v>117</v>
      </c>
    </row>
    <row r="79" spans="1:13" hidden="1" outlineLevel="1" x14ac:dyDescent="0.3">
      <c r="B79" t="s">
        <v>93</v>
      </c>
      <c r="C79" s="24">
        <f>IFERROR('Cashflow Data'!E13,0)</f>
        <v>-3284</v>
      </c>
      <c r="D79" s="24">
        <f>IFERROR('Cashflow Data'!F13,0)</f>
        <v>-3514</v>
      </c>
      <c r="E79" s="24">
        <f>IFERROR('Cashflow Data'!G13,0)</f>
        <v>-2823</v>
      </c>
      <c r="F79" s="24">
        <f>IFERROR('Cashflow Data'!H13,0)</f>
        <v>-4783</v>
      </c>
      <c r="G79" s="24">
        <f>IFERROR('Cashflow Data'!I13,0)</f>
        <v>-4669</v>
      </c>
      <c r="H79" s="24">
        <f>IFERROR('Cashflow Data'!J13,0)</f>
        <v>-1856</v>
      </c>
      <c r="I79" s="24">
        <f>IFERROR('Cashflow Data'!K13,0)</f>
        <v>-1831</v>
      </c>
      <c r="J79" s="24">
        <f>IFERROR('Cashflow Data'!L13,0)</f>
        <v>-1697</v>
      </c>
      <c r="K79" s="24">
        <f>IFERROR('Cashflow Data'!M13,0)</f>
        <v>-1991</v>
      </c>
      <c r="L79" s="24">
        <f>IFERROR('Cashflow Data'!N13,0)</f>
        <v>-2043</v>
      </c>
    </row>
    <row r="80" spans="1:13" hidden="1" outlineLevel="1" x14ac:dyDescent="0.3">
      <c r="B80" t="s">
        <v>94</v>
      </c>
      <c r="C80" s="24">
        <f>IFERROR('Cashflow Data'!E14,0)</f>
        <v>34</v>
      </c>
      <c r="D80" s="24">
        <f>IFERROR('Cashflow Data'!F14,0)</f>
        <v>17</v>
      </c>
      <c r="E80" s="24">
        <f>IFERROR('Cashflow Data'!G14,0)</f>
        <v>28</v>
      </c>
      <c r="F80" s="24">
        <f>IFERROR('Cashflow Data'!H14,0)</f>
        <v>30</v>
      </c>
      <c r="G80" s="24">
        <f>IFERROR('Cashflow Data'!I14,0)</f>
        <v>155</v>
      </c>
      <c r="H80" s="24">
        <f>IFERROR('Cashflow Data'!J14,0)</f>
        <v>178</v>
      </c>
      <c r="I80" s="24">
        <f>IFERROR('Cashflow Data'!K14,0)</f>
        <v>100</v>
      </c>
      <c r="J80" s="24">
        <f>IFERROR('Cashflow Data'!L14,0)</f>
        <v>123</v>
      </c>
      <c r="K80" s="24">
        <f>IFERROR('Cashflow Data'!M14,0)</f>
        <v>39</v>
      </c>
      <c r="L80" s="24">
        <f>IFERROR('Cashflow Data'!N14,0)</f>
        <v>113</v>
      </c>
    </row>
    <row r="81" spans="2:12" hidden="1" outlineLevel="1" x14ac:dyDescent="0.3">
      <c r="B81" t="s">
        <v>95</v>
      </c>
      <c r="C81" s="24">
        <f>IFERROR('Cashflow Data'!E15,0)</f>
        <v>-1669</v>
      </c>
      <c r="D81" s="24">
        <f>IFERROR('Cashflow Data'!F15,0)</f>
        <v>-537</v>
      </c>
      <c r="E81" s="24">
        <f>IFERROR('Cashflow Data'!G15,0)</f>
        <v>0</v>
      </c>
      <c r="F81" s="24">
        <f>IFERROR('Cashflow Data'!H15,0)</f>
        <v>0</v>
      </c>
      <c r="G81" s="24">
        <f>IFERROR('Cashflow Data'!I15,0)</f>
        <v>0</v>
      </c>
      <c r="H81" s="24">
        <f>IFERROR('Cashflow Data'!J15,0)</f>
        <v>-673</v>
      </c>
      <c r="I81" s="24">
        <f>IFERROR('Cashflow Data'!K15,0)</f>
        <v>-3560</v>
      </c>
      <c r="J81" s="24">
        <f>IFERROR('Cashflow Data'!L15,0)</f>
        <v>0</v>
      </c>
      <c r="K81" s="24">
        <f>IFERROR('Cashflow Data'!M15,0)</f>
        <v>-33</v>
      </c>
      <c r="L81" s="24">
        <f>IFERROR('Cashflow Data'!N15,0)</f>
        <v>-793</v>
      </c>
    </row>
    <row r="82" spans="2:12" hidden="1" outlineLevel="1" x14ac:dyDescent="0.3">
      <c r="B82" t="s">
        <v>96</v>
      </c>
      <c r="C82" s="24">
        <f>IFERROR('Cashflow Data'!E16,0)</f>
        <v>832</v>
      </c>
      <c r="D82" s="24">
        <f>IFERROR('Cashflow Data'!F16,0)</f>
        <v>0</v>
      </c>
      <c r="E82" s="24">
        <f>IFERROR('Cashflow Data'!G16,0)</f>
        <v>1026</v>
      </c>
      <c r="F82" s="24">
        <f>IFERROR('Cashflow Data'!H16,0)</f>
        <v>952</v>
      </c>
      <c r="G82" s="24">
        <f>IFERROR('Cashflow Data'!I16,0)</f>
        <v>359</v>
      </c>
      <c r="H82" s="24">
        <f>IFERROR('Cashflow Data'!J16,0)</f>
        <v>4</v>
      </c>
      <c r="I82" s="24">
        <f>IFERROR('Cashflow Data'!K16,0)</f>
        <v>0</v>
      </c>
      <c r="J82" s="24">
        <f>IFERROR('Cashflow Data'!L16,0)</f>
        <v>2079</v>
      </c>
      <c r="K82" s="24">
        <f>IFERROR('Cashflow Data'!M16,0)</f>
        <v>1282</v>
      </c>
      <c r="L82" s="24">
        <f>IFERROR('Cashflow Data'!N16,0)</f>
        <v>35</v>
      </c>
    </row>
    <row r="83" spans="2:12" hidden="1" outlineLevel="1" x14ac:dyDescent="0.3">
      <c r="B83" t="s">
        <v>97</v>
      </c>
      <c r="C83" s="24">
        <f>IFERROR('Cashflow Data'!E17,0)</f>
        <v>254</v>
      </c>
      <c r="D83" s="24">
        <f>IFERROR('Cashflow Data'!F17,0)</f>
        <v>259</v>
      </c>
      <c r="E83" s="24">
        <f>IFERROR('Cashflow Data'!G17,0)</f>
        <v>399</v>
      </c>
      <c r="F83" s="24">
        <f>IFERROR('Cashflow Data'!H17,0)</f>
        <v>327</v>
      </c>
      <c r="G83" s="24">
        <f>IFERROR('Cashflow Data'!I17,0)</f>
        <v>471</v>
      </c>
      <c r="H83" s="24">
        <f>IFERROR('Cashflow Data'!J17,0)</f>
        <v>154</v>
      </c>
      <c r="I83" s="24">
        <f>IFERROR('Cashflow Data'!K17,0)</f>
        <v>301</v>
      </c>
      <c r="J83" s="24">
        <f>IFERROR('Cashflow Data'!L17,0)</f>
        <v>185</v>
      </c>
      <c r="K83" s="24">
        <f>IFERROR('Cashflow Data'!M17,0)</f>
        <v>180</v>
      </c>
      <c r="L83" s="24">
        <f>IFERROR('Cashflow Data'!N17,0)</f>
        <v>346</v>
      </c>
    </row>
    <row r="84" spans="2:12" hidden="1" outlineLevel="1" x14ac:dyDescent="0.3">
      <c r="B84" t="s">
        <v>98</v>
      </c>
      <c r="C84" s="24">
        <f>IFERROR('Cashflow Data'!E18,0)</f>
        <v>1042</v>
      </c>
      <c r="D84" s="24">
        <f>IFERROR('Cashflow Data'!F18,0)</f>
        <v>673</v>
      </c>
      <c r="E84" s="24">
        <f>IFERROR('Cashflow Data'!G18,0)</f>
        <v>1055</v>
      </c>
      <c r="F84" s="24">
        <f>IFERROR('Cashflow Data'!H18,0)</f>
        <v>1569</v>
      </c>
      <c r="G84" s="24">
        <f>IFERROR('Cashflow Data'!I18,0)</f>
        <v>241</v>
      </c>
      <c r="H84" s="24">
        <f>IFERROR('Cashflow Data'!J18,0)</f>
        <v>20</v>
      </c>
      <c r="I84" s="24">
        <f>IFERROR('Cashflow Data'!K18,0)</f>
        <v>80</v>
      </c>
      <c r="J84" s="24">
        <f>IFERROR('Cashflow Data'!L18,0)</f>
        <v>319</v>
      </c>
      <c r="K84" s="24">
        <f>IFERROR('Cashflow Data'!M18,0)</f>
        <v>655</v>
      </c>
      <c r="L84" s="24">
        <f>IFERROR('Cashflow Data'!N18,0)</f>
        <v>1988</v>
      </c>
    </row>
    <row r="85" spans="2:12" hidden="1" outlineLevel="1" x14ac:dyDescent="0.3">
      <c r="B85" t="s">
        <v>99</v>
      </c>
      <c r="C85" s="24">
        <f>IFERROR('Cashflow Data'!E19,0)</f>
        <v>-60</v>
      </c>
      <c r="D85" s="24">
        <f>IFERROR('Cashflow Data'!F19,0)</f>
        <v>-139</v>
      </c>
      <c r="E85" s="24">
        <f>IFERROR('Cashflow Data'!G19,0)</f>
        <v>-300</v>
      </c>
      <c r="F85" s="24">
        <f>IFERROR('Cashflow Data'!H19,0)</f>
        <v>-838</v>
      </c>
      <c r="G85" s="24">
        <f>IFERROR('Cashflow Data'!I19,0)</f>
        <v>-467</v>
      </c>
      <c r="H85" s="24">
        <f>IFERROR('Cashflow Data'!J19,0)</f>
        <v>0</v>
      </c>
      <c r="I85" s="24">
        <f>IFERROR('Cashflow Data'!K19,0)</f>
        <v>-871</v>
      </c>
      <c r="J85" s="24">
        <f>IFERROR('Cashflow Data'!L19,0)</f>
        <v>-191</v>
      </c>
      <c r="K85" s="24">
        <f>IFERROR('Cashflow Data'!M19,0)</f>
        <v>-678</v>
      </c>
      <c r="L85" s="24">
        <f>IFERROR('Cashflow Data'!N19,0)</f>
        <v>-1121</v>
      </c>
    </row>
    <row r="86" spans="2:12" hidden="1" outlineLevel="1" x14ac:dyDescent="0.3">
      <c r="B86" t="s">
        <v>100</v>
      </c>
      <c r="C86" s="24">
        <f>IFERROR('Cashflow Data'!E20,0)</f>
        <v>-78</v>
      </c>
      <c r="D86" s="24">
        <f>IFERROR('Cashflow Data'!F20,0)</f>
        <v>0</v>
      </c>
      <c r="E86" s="24">
        <f>IFERROR('Cashflow Data'!G20,0)</f>
        <v>0</v>
      </c>
      <c r="F86" s="24">
        <f>IFERROR('Cashflow Data'!H20,0)</f>
        <v>0</v>
      </c>
      <c r="G86" s="24">
        <f>IFERROR('Cashflow Data'!I20,0)</f>
        <v>-8</v>
      </c>
      <c r="H86" s="24">
        <f>IFERROR('Cashflow Data'!J20,0)</f>
        <v>-57</v>
      </c>
      <c r="I86" s="24">
        <f>IFERROR('Cashflow Data'!K20,0)</f>
        <v>-51</v>
      </c>
      <c r="J86" s="24">
        <f>IFERROR('Cashflow Data'!L20,0)</f>
        <v>-45</v>
      </c>
      <c r="K86" s="24">
        <f>IFERROR('Cashflow Data'!M20,0)</f>
        <v>-16</v>
      </c>
      <c r="L86" s="24">
        <f>IFERROR('Cashflow Data'!N20,0)</f>
        <v>-166</v>
      </c>
    </row>
    <row r="87" spans="2:12" hidden="1" outlineLevel="1" x14ac:dyDescent="0.3">
      <c r="B87" t="s">
        <v>101</v>
      </c>
      <c r="C87" s="24">
        <f>IFERROR('Cashflow Data'!E21,0)</f>
        <v>0</v>
      </c>
      <c r="D87" s="24">
        <f>IFERROR('Cashflow Data'!F21,0)</f>
        <v>0</v>
      </c>
      <c r="E87" s="24">
        <f>IFERROR('Cashflow Data'!G21,0)</f>
        <v>-44</v>
      </c>
      <c r="F87" s="24">
        <f>IFERROR('Cashflow Data'!H21,0)</f>
        <v>0</v>
      </c>
      <c r="G87" s="24">
        <f>IFERROR('Cashflow Data'!I21,0)</f>
        <v>0</v>
      </c>
      <c r="H87" s="24">
        <f>IFERROR('Cashflow Data'!J21,0)</f>
        <v>0</v>
      </c>
      <c r="I87" s="24">
        <f>IFERROR('Cashflow Data'!K21,0)</f>
        <v>0</v>
      </c>
      <c r="J87" s="24">
        <f>IFERROR('Cashflow Data'!L21,0)</f>
        <v>0</v>
      </c>
      <c r="K87" s="24">
        <f>IFERROR('Cashflow Data'!M21,0)</f>
        <v>-150</v>
      </c>
      <c r="L87" s="24">
        <f>IFERROR('Cashflow Data'!N21,0)</f>
        <v>0</v>
      </c>
    </row>
    <row r="88" spans="2:12" hidden="1" outlineLevel="1" x14ac:dyDescent="0.3">
      <c r="B88" t="s">
        <v>102</v>
      </c>
      <c r="C88" s="24">
        <f>IFERROR('Cashflow Data'!E22,0)</f>
        <v>0</v>
      </c>
      <c r="D88" s="24">
        <f>IFERROR('Cashflow Data'!F22,0)</f>
        <v>0</v>
      </c>
      <c r="E88" s="24">
        <f>IFERROR('Cashflow Data'!G22,0)</f>
        <v>0</v>
      </c>
      <c r="F88" s="24">
        <f>IFERROR('Cashflow Data'!H22,0)</f>
        <v>0</v>
      </c>
      <c r="G88" s="24">
        <f>IFERROR('Cashflow Data'!I22,0)</f>
        <v>26</v>
      </c>
      <c r="H88" s="24">
        <f>IFERROR('Cashflow Data'!J22,0)</f>
        <v>10</v>
      </c>
      <c r="I88" s="24">
        <f>IFERROR('Cashflow Data'!K22,0)</f>
        <v>234</v>
      </c>
      <c r="J88" s="24">
        <f>IFERROR('Cashflow Data'!L22,0)</f>
        <v>0</v>
      </c>
      <c r="K88" s="24">
        <f>IFERROR('Cashflow Data'!M22,0)</f>
        <v>3812</v>
      </c>
      <c r="L88" s="24">
        <f>IFERROR('Cashflow Data'!N22,0)</f>
        <v>150</v>
      </c>
    </row>
    <row r="89" spans="2:12" hidden="1" outlineLevel="1" x14ac:dyDescent="0.3">
      <c r="B89" t="s">
        <v>103</v>
      </c>
      <c r="C89" s="24">
        <f>IFERROR('Cashflow Data'!E23,0)</f>
        <v>0</v>
      </c>
      <c r="D89" s="24">
        <f>IFERROR('Cashflow Data'!F23,0)</f>
        <v>0</v>
      </c>
      <c r="E89" s="24">
        <f>IFERROR('Cashflow Data'!G23,0)</f>
        <v>0</v>
      </c>
      <c r="F89" s="24">
        <f>IFERROR('Cashflow Data'!H23,0)</f>
        <v>0</v>
      </c>
      <c r="G89" s="24">
        <f>IFERROR('Cashflow Data'!I23,0)</f>
        <v>0</v>
      </c>
      <c r="H89" s="24">
        <f>IFERROR('Cashflow Data'!J23,0)</f>
        <v>0</v>
      </c>
      <c r="I89" s="24">
        <f>IFERROR('Cashflow Data'!K23,0)</f>
        <v>0</v>
      </c>
      <c r="J89" s="24">
        <f>IFERROR('Cashflow Data'!L23,0)</f>
        <v>0</v>
      </c>
      <c r="K89" s="24">
        <f>IFERROR('Cashflow Data'!M23,0)</f>
        <v>0</v>
      </c>
      <c r="L89" s="24">
        <f>IFERROR('Cashflow Data'!N23,0)</f>
        <v>0</v>
      </c>
    </row>
    <row r="90" spans="2:12" hidden="1" outlineLevel="1" x14ac:dyDescent="0.3">
      <c r="B90" t="s">
        <v>104</v>
      </c>
      <c r="C90" s="24">
        <f>IFERROR('Cashflow Data'!E24,0)</f>
        <v>-35</v>
      </c>
      <c r="D90" s="24">
        <f>IFERROR('Cashflow Data'!F24,0)</f>
        <v>20</v>
      </c>
      <c r="E90" s="24">
        <f>IFERROR('Cashflow Data'!G24,0)</f>
        <v>60</v>
      </c>
      <c r="F90" s="24">
        <f>IFERROR('Cashflow Data'!H24,0)</f>
        <v>-2</v>
      </c>
      <c r="G90" s="24">
        <f>IFERROR('Cashflow Data'!I24,0)</f>
        <v>-10</v>
      </c>
      <c r="H90" s="24">
        <f>IFERROR('Cashflow Data'!J24,0)</f>
        <v>-30</v>
      </c>
      <c r="I90" s="24">
        <f>IFERROR('Cashflow Data'!K24,0)</f>
        <v>0</v>
      </c>
      <c r="J90" s="24">
        <f>IFERROR('Cashflow Data'!L24,0)</f>
        <v>-15</v>
      </c>
      <c r="K90" s="24">
        <f>IFERROR('Cashflow Data'!M24,0)</f>
        <v>-95</v>
      </c>
      <c r="L90" s="24">
        <f>IFERROR('Cashflow Data'!N24,0)</f>
        <v>-2923</v>
      </c>
    </row>
    <row r="91" spans="2:12" hidden="1" outlineLevel="1" x14ac:dyDescent="0.3">
      <c r="B91" t="s">
        <v>105</v>
      </c>
      <c r="C91" s="24">
        <f>IFERROR('Cashflow Data'!E25,0)</f>
        <v>-301</v>
      </c>
      <c r="D91" s="24">
        <f>IFERROR('Cashflow Data'!F25,0)</f>
        <v>361</v>
      </c>
      <c r="E91" s="24">
        <f>IFERROR('Cashflow Data'!G25,0)</f>
        <v>-111</v>
      </c>
      <c r="F91" s="24">
        <f>IFERROR('Cashflow Data'!H25,0)</f>
        <v>-1076</v>
      </c>
      <c r="G91" s="24">
        <f>IFERROR('Cashflow Data'!I25,0)</f>
        <v>-736</v>
      </c>
      <c r="H91" s="24">
        <f>IFERROR('Cashflow Data'!J25,0)</f>
        <v>-740</v>
      </c>
      <c r="I91" s="24">
        <f>IFERROR('Cashflow Data'!K25,0)</f>
        <v>917</v>
      </c>
      <c r="J91" s="24">
        <f>IFERROR('Cashflow Data'!L25,0)</f>
        <v>160</v>
      </c>
      <c r="K91" s="24">
        <f>IFERROR('Cashflow Data'!M25,0)</f>
        <v>-1513</v>
      </c>
      <c r="L91" s="24">
        <f>IFERROR('Cashflow Data'!N25,0)</f>
        <v>593</v>
      </c>
    </row>
    <row r="92" spans="2:12" hidden="1" outlineLevel="1" x14ac:dyDescent="0.3">
      <c r="B92" s="2" t="s">
        <v>118</v>
      </c>
      <c r="C92" s="24">
        <f>IFERROR('Cashflow Data'!E26,0)</f>
        <v>-79</v>
      </c>
      <c r="D92" s="24">
        <f>IFERROR('Cashflow Data'!F26,0)</f>
        <v>1209</v>
      </c>
      <c r="E92" s="24">
        <f>IFERROR('Cashflow Data'!G26,0)</f>
        <v>-3106</v>
      </c>
      <c r="F92" s="24">
        <f>IFERROR('Cashflow Data'!H26,0)</f>
        <v>-2530</v>
      </c>
      <c r="G92" s="24">
        <f>IFERROR('Cashflow Data'!I26,0)</f>
        <v>7749</v>
      </c>
      <c r="H92" s="24">
        <f>IFERROR('Cashflow Data'!J26,0)</f>
        <v>-3472</v>
      </c>
      <c r="I92" s="24">
        <f>IFERROR('Cashflow Data'!K26,0)</f>
        <v>-516</v>
      </c>
      <c r="J92" s="24">
        <f>IFERROR('Cashflow Data'!L26,0)</f>
        <v>-7021</v>
      </c>
      <c r="K92" s="24">
        <f>IFERROR('Cashflow Data'!M26,0)</f>
        <v>-7930</v>
      </c>
      <c r="L92" s="24">
        <f>IFERROR('Cashflow Data'!N26,0)</f>
        <v>-8932</v>
      </c>
    </row>
    <row r="93" spans="2:12" hidden="1" outlineLevel="1" x14ac:dyDescent="0.3"/>
    <row r="94" spans="2:12" hidden="1" outlineLevel="1" x14ac:dyDescent="0.3">
      <c r="B94" s="2" t="s">
        <v>119</v>
      </c>
    </row>
    <row r="95" spans="2:12" hidden="1" outlineLevel="1" x14ac:dyDescent="0.3">
      <c r="B95" t="s">
        <v>107</v>
      </c>
      <c r="C95" s="24">
        <f>IFERROR('Cashflow Data'!E27,0)</f>
        <v>7433</v>
      </c>
      <c r="D95" s="24">
        <f>IFERROR('Cashflow Data'!F27,0)</f>
        <v>5</v>
      </c>
      <c r="E95" s="24">
        <f>IFERROR('Cashflow Data'!G27,0)</f>
        <v>0</v>
      </c>
      <c r="F95" s="24">
        <f>IFERROR('Cashflow Data'!H27,0)</f>
        <v>0</v>
      </c>
      <c r="G95" s="24">
        <f>IFERROR('Cashflow Data'!I27,0)</f>
        <v>3889</v>
      </c>
      <c r="H95" s="24">
        <f>IFERROR('Cashflow Data'!J27,0)</f>
        <v>2603</v>
      </c>
      <c r="I95" s="24">
        <f>IFERROR('Cashflow Data'!K27,0)</f>
        <v>19</v>
      </c>
      <c r="J95" s="24">
        <f>IFERROR('Cashflow Data'!L27,0)</f>
        <v>20</v>
      </c>
      <c r="K95" s="24">
        <f>IFERROR('Cashflow Data'!M27,0)</f>
        <v>82</v>
      </c>
      <c r="L95" s="24">
        <f>IFERROR('Cashflow Data'!N27,0)</f>
        <v>1108</v>
      </c>
    </row>
    <row r="96" spans="2:12" hidden="1" outlineLevel="1" x14ac:dyDescent="0.3">
      <c r="B96" t="s">
        <v>108</v>
      </c>
      <c r="C96" s="24">
        <f>IFERROR('Cashflow Data'!E28,0)</f>
        <v>3587</v>
      </c>
      <c r="D96" s="24">
        <f>IFERROR('Cashflow Data'!F28,0)</f>
        <v>10687</v>
      </c>
      <c r="E96" s="24">
        <f>IFERROR('Cashflow Data'!G28,0)</f>
        <v>6406</v>
      </c>
      <c r="F96" s="24">
        <f>IFERROR('Cashflow Data'!H28,0)</f>
        <v>8805</v>
      </c>
      <c r="G96" s="24">
        <f>IFERROR('Cashflow Data'!I28,0)</f>
        <v>15462</v>
      </c>
      <c r="H96" s="24">
        <f>IFERROR('Cashflow Data'!J28,0)</f>
        <v>6985</v>
      </c>
      <c r="I96" s="24">
        <f>IFERROR('Cashflow Data'!K28,0)</f>
        <v>10408</v>
      </c>
      <c r="J96" s="24">
        <f>IFERROR('Cashflow Data'!L28,0)</f>
        <v>887</v>
      </c>
      <c r="K96" s="24">
        <f>IFERROR('Cashflow Data'!M28,0)</f>
        <v>783</v>
      </c>
      <c r="L96" s="24">
        <f>IFERROR('Cashflow Data'!N28,0)</f>
        <v>2262</v>
      </c>
    </row>
    <row r="97" spans="2:12" hidden="1" outlineLevel="1" x14ac:dyDescent="0.3">
      <c r="B97" t="s">
        <v>109</v>
      </c>
      <c r="C97" s="24">
        <f>IFERROR('Cashflow Data'!E29,0)</f>
        <v>-9013</v>
      </c>
      <c r="D97" s="24">
        <f>IFERROR('Cashflow Data'!F29,0)</f>
        <v>-7473</v>
      </c>
      <c r="E97" s="24">
        <f>IFERROR('Cashflow Data'!G29,0)</f>
        <v>-7410</v>
      </c>
      <c r="F97" s="24">
        <f>IFERROR('Cashflow Data'!H29,0)</f>
        <v>-8977</v>
      </c>
      <c r="G97" s="24">
        <f>IFERROR('Cashflow Data'!I29,0)</f>
        <v>-9128</v>
      </c>
      <c r="H97" s="24">
        <f>IFERROR('Cashflow Data'!J29,0)</f>
        <v>-10438</v>
      </c>
      <c r="I97" s="24">
        <f>IFERROR('Cashflow Data'!K29,0)</f>
        <v>-8517</v>
      </c>
      <c r="J97" s="24">
        <f>IFERROR('Cashflow Data'!L29,0)</f>
        <v>-5852</v>
      </c>
      <c r="K97" s="24">
        <f>IFERROR('Cashflow Data'!M29,0)</f>
        <v>-6031</v>
      </c>
      <c r="L97" s="24">
        <f>IFERROR('Cashflow Data'!N29,0)</f>
        <v>-7281</v>
      </c>
    </row>
    <row r="98" spans="2:12" hidden="1" outlineLevel="1" x14ac:dyDescent="0.3">
      <c r="B98" t="s">
        <v>110</v>
      </c>
      <c r="C98" s="24">
        <f>IFERROR('Cashflow Data'!E30,0)</f>
        <v>-2086</v>
      </c>
      <c r="D98" s="24">
        <f>IFERROR('Cashflow Data'!F30,0)</f>
        <v>-1936</v>
      </c>
      <c r="E98" s="24">
        <f>IFERROR('Cashflow Data'!G30,0)</f>
        <v>-2098</v>
      </c>
      <c r="F98" s="24">
        <f>IFERROR('Cashflow Data'!H30,0)</f>
        <v>-2355</v>
      </c>
      <c r="G98" s="24">
        <f>IFERROR('Cashflow Data'!I30,0)</f>
        <v>-2270</v>
      </c>
      <c r="H98" s="24">
        <f>IFERROR('Cashflow Data'!J30,0)</f>
        <v>-2427</v>
      </c>
      <c r="I98" s="24">
        <f>IFERROR('Cashflow Data'!K30,0)</f>
        <v>-2272</v>
      </c>
      <c r="J98" s="24">
        <f>IFERROR('Cashflow Data'!L30,0)</f>
        <v>-2008</v>
      </c>
      <c r="K98" s="24">
        <f>IFERROR('Cashflow Data'!M30,0)</f>
        <v>-1839</v>
      </c>
      <c r="L98" s="24">
        <f>IFERROR('Cashflow Data'!N30,0)</f>
        <v>-1159</v>
      </c>
    </row>
    <row r="99" spans="2:12" hidden="1" outlineLevel="1" x14ac:dyDescent="0.3">
      <c r="B99" t="s">
        <v>111</v>
      </c>
      <c r="C99" s="24">
        <f>IFERROR('Cashflow Data'!E31,0)</f>
        <v>0</v>
      </c>
      <c r="D99" s="24">
        <f>IFERROR('Cashflow Data'!F31,0)</f>
        <v>-73</v>
      </c>
      <c r="E99" s="24">
        <f>IFERROR('Cashflow Data'!G31,0)</f>
        <v>-3</v>
      </c>
      <c r="F99" s="24">
        <f>IFERROR('Cashflow Data'!H31,0)</f>
        <v>-3</v>
      </c>
      <c r="G99" s="24">
        <f>IFERROR('Cashflow Data'!I31,0)</f>
        <v>-4</v>
      </c>
      <c r="H99" s="24">
        <f>IFERROR('Cashflow Data'!J31,0)</f>
        <v>-2</v>
      </c>
      <c r="I99" s="24">
        <f>IFERROR('Cashflow Data'!K31,0)</f>
        <v>-2</v>
      </c>
      <c r="J99" s="24">
        <f>IFERROR('Cashflow Data'!L31,0)</f>
        <v>0</v>
      </c>
      <c r="K99" s="24">
        <f>IFERROR('Cashflow Data'!M31,0)</f>
        <v>-770</v>
      </c>
      <c r="L99" s="24">
        <f>IFERROR('Cashflow Data'!N31,0)</f>
        <v>-2304</v>
      </c>
    </row>
    <row r="100" spans="2:12" hidden="1" outlineLevel="1" x14ac:dyDescent="0.3">
      <c r="B100" t="s">
        <v>112</v>
      </c>
      <c r="C100" s="24">
        <f>IFERROR('Cashflow Data'!E32,0)</f>
        <v>0</v>
      </c>
      <c r="D100" s="24">
        <f>IFERROR('Cashflow Data'!F32,0)</f>
        <v>0</v>
      </c>
      <c r="E100" s="24">
        <f>IFERROR('Cashflow Data'!G32,0)</f>
        <v>0</v>
      </c>
      <c r="F100" s="24">
        <f>IFERROR('Cashflow Data'!H32,0)</f>
        <v>0</v>
      </c>
      <c r="G100" s="24">
        <f>IFERROR('Cashflow Data'!I32,0)</f>
        <v>-194</v>
      </c>
      <c r="H100" s="24">
        <f>IFERROR('Cashflow Data'!J32,0)</f>
        <v>-192</v>
      </c>
      <c r="I100" s="24">
        <f>IFERROR('Cashflow Data'!K32,0)</f>
        <v>-152</v>
      </c>
      <c r="J100" s="24">
        <f>IFERROR('Cashflow Data'!L32,0)</f>
        <v>-68</v>
      </c>
      <c r="K100" s="24">
        <f>IFERROR('Cashflow Data'!M32,0)</f>
        <v>-155</v>
      </c>
      <c r="L100" s="24">
        <f>IFERROR('Cashflow Data'!N32,0)</f>
        <v>-422</v>
      </c>
    </row>
    <row r="101" spans="2:12" hidden="1" outlineLevel="1" x14ac:dyDescent="0.3">
      <c r="B101" t="s">
        <v>113</v>
      </c>
      <c r="C101" s="24">
        <f>IFERROR('Cashflow Data'!E33,0)</f>
        <v>0</v>
      </c>
      <c r="D101" s="24">
        <f>IFERROR('Cashflow Data'!F33,0)</f>
        <v>0</v>
      </c>
      <c r="E101" s="24">
        <f>IFERROR('Cashflow Data'!G33,0)</f>
        <v>0</v>
      </c>
      <c r="F101" s="24">
        <f>IFERROR('Cashflow Data'!H33,0)</f>
        <v>0</v>
      </c>
      <c r="G101" s="24">
        <f>IFERROR('Cashflow Data'!I33,0)</f>
        <v>-7</v>
      </c>
      <c r="H101" s="24">
        <f>IFERROR('Cashflow Data'!J33,0)</f>
        <v>0</v>
      </c>
      <c r="I101" s="24">
        <f>IFERROR('Cashflow Data'!K33,0)</f>
        <v>0</v>
      </c>
      <c r="J101" s="24">
        <f>IFERROR('Cashflow Data'!L33,0)</f>
        <v>0</v>
      </c>
      <c r="K101" s="24">
        <f>IFERROR('Cashflow Data'!M33,0)</f>
        <v>0</v>
      </c>
      <c r="L101" s="24">
        <f>IFERROR('Cashflow Data'!N33,0)</f>
        <v>-1136</v>
      </c>
    </row>
    <row r="102" spans="2:12" hidden="1" outlineLevel="1" x14ac:dyDescent="0.3">
      <c r="B102" s="2" t="s">
        <v>120</v>
      </c>
      <c r="C102" s="24">
        <f>IFERROR('Cashflow Data'!E34,0)</f>
        <v>-639</v>
      </c>
      <c r="D102" s="24">
        <f>IFERROR('Cashflow Data'!F34,0)</f>
        <v>-198</v>
      </c>
      <c r="E102" s="24">
        <f>IFERROR('Cashflow Data'!G34,0)</f>
        <v>318</v>
      </c>
      <c r="F102" s="24">
        <f>IFERROR('Cashflow Data'!H34,0)</f>
        <v>-59</v>
      </c>
      <c r="G102" s="24">
        <f>IFERROR('Cashflow Data'!I34,0)</f>
        <v>1658</v>
      </c>
      <c r="H102" s="24">
        <f>IFERROR('Cashflow Data'!J34,0)</f>
        <v>220</v>
      </c>
      <c r="I102" s="24">
        <f>IFERROR('Cashflow Data'!K34,0)</f>
        <v>85</v>
      </c>
      <c r="J102" s="24">
        <f>IFERROR('Cashflow Data'!L34,0)</f>
        <v>-1329</v>
      </c>
      <c r="K102" s="24">
        <f>IFERROR('Cashflow Data'!M34,0)</f>
        <v>2224</v>
      </c>
      <c r="L102" s="24">
        <f>IFERROR('Cashflow Data'!N34,0)</f>
        <v>-2958</v>
      </c>
    </row>
    <row r="103" spans="2:12" hidden="1" outlineLevel="1" x14ac:dyDescent="0.3"/>
    <row r="104" spans="2:12" hidden="1" outlineLevel="1" x14ac:dyDescent="0.3">
      <c r="B104" s="2" t="s">
        <v>121</v>
      </c>
      <c r="C104" s="24">
        <f>IFERROR(SUM(C95:C102),0)</f>
        <v>-718</v>
      </c>
      <c r="D104" s="24">
        <f t="shared" ref="D104:L104" si="21">IFERROR(SUM(D95:D102),0)</f>
        <v>1012</v>
      </c>
      <c r="E104" s="24">
        <f t="shared" si="21"/>
        <v>-2787</v>
      </c>
      <c r="F104" s="24">
        <f t="shared" si="21"/>
        <v>-2589</v>
      </c>
      <c r="G104" s="24">
        <f t="shared" si="21"/>
        <v>9406</v>
      </c>
      <c r="H104" s="24">
        <f t="shared" si="21"/>
        <v>-3251</v>
      </c>
      <c r="I104" s="24">
        <f t="shared" si="21"/>
        <v>-431</v>
      </c>
      <c r="J104" s="24">
        <f t="shared" si="21"/>
        <v>-8350</v>
      </c>
      <c r="K104" s="24">
        <f t="shared" si="21"/>
        <v>-5706</v>
      </c>
      <c r="L104" s="24">
        <f t="shared" si="21"/>
        <v>-11890</v>
      </c>
    </row>
    <row r="105" spans="2:12" collapsed="1" x14ac:dyDescent="0.3"/>
  </sheetData>
  <mergeCells count="1">
    <mergeCell ref="B2:M2"/>
  </mergeCells>
  <pageMargins left="0.7" right="0.7" top="0.75" bottom="0.75" header="0.3" footer="0.3"/>
  <ignoredErrors>
    <ignoredError sqref="D8 E8:M8 M5 C13 D13:L13 M22 M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B2E9-A5DF-483A-89F8-CCA4D9ACDC77}">
  <dimension ref="B2:O42"/>
  <sheetViews>
    <sheetView showGridLines="0" workbookViewId="0">
      <selection activeCell="Q19" sqref="Q19"/>
    </sheetView>
  </sheetViews>
  <sheetFormatPr defaultRowHeight="14.4" x14ac:dyDescent="0.3"/>
  <cols>
    <col min="1" max="1" width="1.88671875" customWidth="1"/>
    <col min="2" max="2" width="27.33203125" customWidth="1"/>
  </cols>
  <sheetData>
    <row r="2" spans="2:15" x14ac:dyDescent="0.3">
      <c r="B2" s="97" t="str">
        <f>"Ratio Analysis  - "&amp;'Data Sheet'!B1</f>
        <v>Ratio Analysis  - TATA MOTORS LTD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2:15" x14ac:dyDescent="0.3">
      <c r="B3" s="15" t="s">
        <v>55</v>
      </c>
      <c r="C3" s="16">
        <f>'Data Sheet'!B16</f>
        <v>42460</v>
      </c>
      <c r="D3" s="16">
        <f>'Data Sheet'!C16</f>
        <v>42825</v>
      </c>
      <c r="E3" s="16">
        <f>'Data Sheet'!D16</f>
        <v>43190</v>
      </c>
      <c r="F3" s="16">
        <f>'Data Sheet'!E16</f>
        <v>43555</v>
      </c>
      <c r="G3" s="16">
        <f>'Data Sheet'!F16</f>
        <v>43921</v>
      </c>
      <c r="H3" s="16">
        <f>'Data Sheet'!G16</f>
        <v>44286</v>
      </c>
      <c r="I3" s="16">
        <f>'Data Sheet'!H16</f>
        <v>44651</v>
      </c>
      <c r="J3" s="16">
        <f>'Data Sheet'!I16</f>
        <v>45016</v>
      </c>
      <c r="K3" s="16">
        <f>'Data Sheet'!J16</f>
        <v>45382</v>
      </c>
      <c r="L3" s="16">
        <f>'Data Sheet'!K16</f>
        <v>45747</v>
      </c>
      <c r="M3" s="17" t="s">
        <v>154</v>
      </c>
      <c r="N3" s="17" t="s">
        <v>155</v>
      </c>
      <c r="O3" s="17" t="s">
        <v>156</v>
      </c>
    </row>
    <row r="4" spans="2:15" x14ac:dyDescent="0.3">
      <c r="B4" t="s">
        <v>122</v>
      </c>
      <c r="D4" s="36">
        <f>IFERROR('Historical FS'!D6,0)</f>
        <v>-1.2280329732469477E-2</v>
      </c>
      <c r="E4" s="36">
        <f>IFERROR('Historical FS'!E6,0)</f>
        <v>8.1047745819859698E-2</v>
      </c>
      <c r="F4" s="36">
        <f>IFERROR('Historical FS'!F6,0)</f>
        <v>3.5629919045237185E-2</v>
      </c>
      <c r="G4" s="36">
        <f>IFERROR('Historical FS'!G6,0)</f>
        <v>-0.135360159555724</v>
      </c>
      <c r="H4" s="36">
        <f>IFERROR('Historical FS'!H6,0)</f>
        <v>-4.3181168490336062E-2</v>
      </c>
      <c r="I4" s="36">
        <f>IFERROR('Historical FS'!I6,0)</f>
        <v>0.11472967306158355</v>
      </c>
      <c r="J4" s="36">
        <f>IFERROR('Historical FS'!J6,0)</f>
        <v>0.24245815155859701</v>
      </c>
      <c r="K4" s="36">
        <f>IFERROR('Historical FS'!K6,0)</f>
        <v>0.25450126062612288</v>
      </c>
      <c r="L4" s="36">
        <f>IFERROR('Historical FS'!L6,0)</f>
        <v>1.3084771068347711E-2</v>
      </c>
      <c r="N4" s="39">
        <f>MEDIAN(C4:L4)</f>
        <v>3.5629919045237185E-2</v>
      </c>
      <c r="O4" s="39">
        <f>AVERAGE(C4:L4)</f>
        <v>6.1181095933468731E-2</v>
      </c>
    </row>
    <row r="5" spans="2:15" x14ac:dyDescent="0.3">
      <c r="B5" t="s">
        <v>123</v>
      </c>
      <c r="D5" s="36">
        <f>IFERROR('Historical FS'!C11/'Historical FS'!C5,0)</f>
        <v>0.24734524196690946</v>
      </c>
      <c r="E5" s="36">
        <f>IFERROR('Historical FS'!D11/'Historical FS'!D5,0)</f>
        <v>0.18331406385739074</v>
      </c>
      <c r="F5" s="36">
        <f>IFERROR('Historical FS'!E11/'Historical FS'!E5,0)</f>
        <v>0.20246061676866395</v>
      </c>
      <c r="G5" s="36">
        <f>IFERROR('Historical FS'!F11/'Historical FS'!F5,0)</f>
        <v>0.20931232993219814</v>
      </c>
      <c r="H5" s="36">
        <f>IFERROR('Historical FS'!G11/'Historical FS'!G5,0)</f>
        <v>0.21126406276495721</v>
      </c>
      <c r="I5" s="36">
        <f>IFERROR('Historical FS'!H11/'Historical FS'!H5,0)</f>
        <v>0.25555793306304475</v>
      </c>
      <c r="J5" s="36">
        <f>IFERROR('Historical FS'!I11/'Historical FS'!I5,0)</f>
        <v>0.20949481640784559</v>
      </c>
      <c r="K5" s="36">
        <f>IFERROR('Historical FS'!J11/'Historical FS'!J5,0)</f>
        <v>0.1792081192028244</v>
      </c>
      <c r="L5" s="36">
        <f>IFERROR('Historical FS'!K11/'Historical FS'!K5,0)</f>
        <v>0.2223512497235125</v>
      </c>
      <c r="N5" s="39">
        <f t="shared" ref="N5:N37" si="0">MEDIAN(C5:L5)</f>
        <v>0.20949481640784559</v>
      </c>
      <c r="O5" s="39">
        <f t="shared" ref="O5:O42" si="1">AVERAGE(C5:L5)</f>
        <v>0.21336760374303854</v>
      </c>
    </row>
    <row r="6" spans="2:15" x14ac:dyDescent="0.3">
      <c r="B6" t="s">
        <v>124</v>
      </c>
      <c r="D6" s="36">
        <f>IFERROR('Historical FS'!D16/'Historical FS'!C16-1,0)</f>
        <v>-0.61482605270183155</v>
      </c>
      <c r="E6" s="36">
        <f>IFERROR('Historical FS'!E16/'Historical FS'!D16-1,0)</f>
        <v>0.85034806627966564</v>
      </c>
      <c r="F6" s="36">
        <f>IFERROR('Historical FS'!F16/'Historical FS'!E16-1,0)</f>
        <v>5.1393921764386841E-2</v>
      </c>
      <c r="G6" s="36">
        <f>IFERROR('Historical FS'!G16/'Historical FS'!F16-1,0)</f>
        <v>-0.21971652597469349</v>
      </c>
      <c r="H6" s="36">
        <f>IFERROR('Historical FS'!H16/'Historical FS'!G16-1,0)</f>
        <v>0.85553543628017881</v>
      </c>
      <c r="I6" s="36">
        <f>IFERROR('Historical FS'!I16/'Historical FS'!H16-1,0)</f>
        <v>-0.33019883209400869</v>
      </c>
      <c r="J6" s="36">
        <f>IFERROR('Historical FS'!J16/'Historical FS'!I16-1,0)</f>
        <v>-0.20244779142878855</v>
      </c>
      <c r="K6" s="36">
        <f>IFERROR('Historical FS'!K16/'Historical FS'!J16-1,0)</f>
        <v>1.4577846324198238</v>
      </c>
      <c r="L6" s="36">
        <f>IFERROR('Historical FS'!L16/'Historical FS'!K16-1,0)</f>
        <v>0.11328896365099106</v>
      </c>
      <c r="N6" s="39">
        <f t="shared" si="0"/>
        <v>5.1393921764386841E-2</v>
      </c>
      <c r="O6" s="39">
        <f t="shared" si="1"/>
        <v>0.21790686868841377</v>
      </c>
    </row>
    <row r="7" spans="2:15" x14ac:dyDescent="0.3">
      <c r="B7" t="s">
        <v>125</v>
      </c>
      <c r="D7" s="36">
        <f>IFERROR('Historical FS'!D25/'Historical FS'!C25-1,0)</f>
        <v>-1.437867176647879</v>
      </c>
      <c r="E7" s="36">
        <f>IFERROR('Historical FS'!E25/'Historical FS'!D25-1,0)</f>
        <v>-1.1535377983859476</v>
      </c>
      <c r="F7" s="36">
        <f>IFERROR('Historical FS'!F25/'Historical FS'!E25-1,0)</f>
        <v>-1.5121951219511955</v>
      </c>
      <c r="G7" s="36">
        <f>IFERROR('Historical FS'!G25/'Historical FS'!F25-1,0)</f>
        <v>9.7537261818311514</v>
      </c>
      <c r="H7" s="36">
        <f>IFERROR('Historical FS'!H25/'Historical FS'!G25-1,0)</f>
        <v>-2.6098039814706047</v>
      </c>
      <c r="I7" s="36">
        <f>IFERROR('Historical FS'!I25/'Historical FS'!H25-1,0)</f>
        <v>-1.623907421890217</v>
      </c>
      <c r="J7" s="36">
        <f>IFERROR('Historical FS'!J25/'Historical FS'!I25-1,0)</f>
        <v>1.0544818841971821</v>
      </c>
      <c r="K7" s="36">
        <f>IFERROR('Historical FS'!K25/'Historical FS'!J25-1,0)</f>
        <v>-2.5474609764611973</v>
      </c>
      <c r="L7" s="36">
        <f>IFERROR('Historical FS'!L25/'Historical FS'!K25-1,0)</f>
        <v>0.63900498514527415</v>
      </c>
      <c r="N7" s="39">
        <f t="shared" si="0"/>
        <v>-1.437867176647879</v>
      </c>
      <c r="O7" s="39">
        <f t="shared" si="1"/>
        <v>6.2493397151840657E-2</v>
      </c>
    </row>
    <row r="8" spans="2:15" x14ac:dyDescent="0.3">
      <c r="B8" t="s">
        <v>126</v>
      </c>
      <c r="D8" s="36">
        <f>IFERROR('Historical FS'!D31/'Historical FS'!C31-1,0)</f>
        <v>-1.770161085347205</v>
      </c>
      <c r="E8" s="36">
        <f>IFERROR('Historical FS'!E31/'Historical FS'!D31-1,0)</f>
        <v>-0.69706035993052762</v>
      </c>
      <c r="F8" s="36">
        <f>IFERROR('Historical FS'!F31/'Historical FS'!E31-1,0)</f>
        <v>-1.5786590471210467</v>
      </c>
      <c r="G8" s="36">
        <f>IFERROR('Historical FS'!G31/'Historical FS'!F31-1,0)</f>
        <v>-4.5579174981577051</v>
      </c>
      <c r="H8" s="36">
        <f>IFERROR('Historical FS'!H31/'Historical FS'!G31-1,0)</f>
        <v>-2.1293283302290646</v>
      </c>
      <c r="I8" s="36">
        <f>IFERROR('Historical FS'!I31/'Historical FS'!H31-1,0)</f>
        <v>-2.4026447086416223</v>
      </c>
      <c r="J8" s="36">
        <f>IFERROR('Historical FS'!J31/'Historical FS'!I31-1,0)</f>
        <v>0.29200583711992323</v>
      </c>
      <c r="K8" s="36">
        <f>IFERROR('Historical FS'!K31/'Historical FS'!J31-1,0)</f>
        <v>-2.7642313778039078</v>
      </c>
      <c r="L8" s="36">
        <f>IFERROR('Historical FS'!L31/'Historical FS'!K31-1,0)</f>
        <v>-7.6874764476824509E-2</v>
      </c>
      <c r="N8" s="39">
        <f t="shared" si="0"/>
        <v>-1.770161085347205</v>
      </c>
      <c r="O8" s="39">
        <f t="shared" si="1"/>
        <v>-1.7427634816208866</v>
      </c>
    </row>
    <row r="9" spans="2:15" x14ac:dyDescent="0.3">
      <c r="B9" t="s">
        <v>127</v>
      </c>
      <c r="D9" s="36">
        <f>IFERROR('Historical FS'!D39/'Historical FS'!C39-1,0)</f>
        <v>-1</v>
      </c>
      <c r="E9" s="36">
        <f>IFERROR('Historical FS'!E39/'Historical FS'!D39-1,0)</f>
        <v>0</v>
      </c>
      <c r="F9" s="36">
        <f>IFERROR('Historical FS'!F39/'Historical FS'!E39-1,0)</f>
        <v>0</v>
      </c>
      <c r="G9" s="36">
        <f>IFERROR('Historical FS'!G39/'Historical FS'!F39-1,0)</f>
        <v>0</v>
      </c>
      <c r="H9" s="36">
        <f>IFERROR('Historical FS'!H39/'Historical FS'!G39-1,0)</f>
        <v>0</v>
      </c>
      <c r="I9" s="36">
        <f>IFERROR('Historical FS'!I39/'Historical FS'!H39-1,0)</f>
        <v>0</v>
      </c>
      <c r="J9" s="36">
        <f>IFERROR('Historical FS'!J39/'Historical FS'!I39-1,0)</f>
        <v>0</v>
      </c>
      <c r="K9" s="36">
        <f>IFERROR('Historical FS'!K39/'Historical FS'!J39-1,0)</f>
        <v>2.0019611160404609</v>
      </c>
      <c r="L9" s="36">
        <f>IFERROR('Historical FS'!L39/'Historical FS'!K39-1,0)</f>
        <v>-1.0201354823385911E-3</v>
      </c>
      <c r="N9" s="39">
        <f t="shared" si="0"/>
        <v>0</v>
      </c>
      <c r="O9" s="39">
        <f t="shared" si="1"/>
        <v>0.11121566450645802</v>
      </c>
    </row>
    <row r="10" spans="2:15" x14ac:dyDescent="0.3">
      <c r="N10" s="39"/>
      <c r="O10" s="39"/>
    </row>
    <row r="11" spans="2:15" x14ac:dyDescent="0.3">
      <c r="B11" t="s">
        <v>128</v>
      </c>
      <c r="C11" s="36">
        <f>IFERROR('Historical FS'!C11/'Historical FS'!C5,0)</f>
        <v>0.24734524196690946</v>
      </c>
      <c r="D11" s="36">
        <f>IFERROR('Historical FS'!D11/'Historical FS'!D5,0)</f>
        <v>0.18331406385739074</v>
      </c>
      <c r="E11" s="36">
        <f>IFERROR('Historical FS'!E11/'Historical FS'!E5,0)</f>
        <v>0.20246061676866395</v>
      </c>
      <c r="F11" s="36">
        <f>IFERROR('Historical FS'!F11/'Historical FS'!F5,0)</f>
        <v>0.20931232993219814</v>
      </c>
      <c r="G11" s="36">
        <f>IFERROR('Historical FS'!G11/'Historical FS'!G5,0)</f>
        <v>0.21126406276495721</v>
      </c>
      <c r="H11" s="36">
        <f>IFERROR('Historical FS'!H11/'Historical FS'!H5,0)</f>
        <v>0.25555793306304475</v>
      </c>
      <c r="I11" s="36">
        <f>IFERROR('Historical FS'!I11/'Historical FS'!I5,0)</f>
        <v>0.20949481640784559</v>
      </c>
      <c r="J11" s="36">
        <f>IFERROR('Historical FS'!J11/'Historical FS'!J5,0)</f>
        <v>0.1792081192028244</v>
      </c>
      <c r="K11" s="36">
        <f>IFERROR('Historical FS'!K11/'Historical FS'!K5,0)</f>
        <v>0.2223512497235125</v>
      </c>
      <c r="L11" s="36">
        <f>IFERROR('Historical FS'!L11/'Historical FS'!L5,0)</f>
        <v>0.23779665449914145</v>
      </c>
      <c r="N11" s="39">
        <f t="shared" si="0"/>
        <v>0.2103794395864014</v>
      </c>
      <c r="O11" s="39">
        <f t="shared" si="1"/>
        <v>0.21581050881864883</v>
      </c>
    </row>
    <row r="12" spans="2:15" x14ac:dyDescent="0.3">
      <c r="B12" t="s">
        <v>129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N12" s="39"/>
      <c r="O12" s="39"/>
    </row>
    <row r="13" spans="2:15" x14ac:dyDescent="0.3">
      <c r="B13" t="s">
        <v>130</v>
      </c>
      <c r="C13" s="36">
        <f>IFERROR('Historical FS'!C17,0)</f>
        <v>0.14061845347443788</v>
      </c>
      <c r="D13" s="36">
        <f>IFERROR('Historical FS'!D17,0)</f>
        <v>5.4835968562864393E-2</v>
      </c>
      <c r="E13" s="36">
        <f>IFERROR('Historical FS'!E17,0)</f>
        <v>9.3858600404293696E-2</v>
      </c>
      <c r="F13" s="36">
        <f>IFERROR('Historical FS'!F17,0)</f>
        <v>9.528728376384063E-2</v>
      </c>
      <c r="G13" s="36">
        <f>IFERROR('Historical FS'!G17,0)</f>
        <v>8.5990824535081681E-2</v>
      </c>
      <c r="H13" s="36">
        <f>IFERROR('Historical FS'!H17,0)</f>
        <v>0.16675990988601641</v>
      </c>
      <c r="I13" s="36">
        <f>IFERROR('Historical FS'!I17,0)</f>
        <v>0.10020006204264824</v>
      </c>
      <c r="J13" s="36">
        <f>IFERROR('Historical FS'!J17,0)</f>
        <v>6.4319897358987688E-2</v>
      </c>
      <c r="K13" s="36">
        <f>IFERROR('Historical FS'!K17,0)</f>
        <v>0.12601378751013786</v>
      </c>
      <c r="L13" s="36">
        <f>IFERROR('Historical FS'!L17,0)</f>
        <v>0.13847780848087879</v>
      </c>
      <c r="N13" s="39">
        <f t="shared" si="0"/>
        <v>9.7743672903244427E-2</v>
      </c>
      <c r="O13" s="39">
        <f t="shared" si="1"/>
        <v>0.10663625960191873</v>
      </c>
    </row>
    <row r="14" spans="2:15" x14ac:dyDescent="0.3">
      <c r="B14" t="s">
        <v>131</v>
      </c>
      <c r="C14" s="36">
        <f>IFERROR(('Historical FS'!C16-'Historical FS'!C22)/'Historical FS'!C5,0)</f>
        <v>7.941702777851016E-2</v>
      </c>
      <c r="D14" s="36">
        <f>IFERROR(('Historical FS'!D16-'Historical FS'!D22)/'Historical FS'!D5,0)</f>
        <v>-1.155441802962941E-2</v>
      </c>
      <c r="E14" s="36">
        <f>IFERROR(('Historical FS'!E16-'Historical FS'!E22)/'Historical FS'!E5,0)</f>
        <v>1.99311282217749E-2</v>
      </c>
      <c r="F14" s="36">
        <f>IFERROR(('Historical FS'!F16-'Historical FS'!F22)/'Historical FS'!F5,0)</f>
        <v>1.7156678315841972E-2</v>
      </c>
      <c r="G14" s="36">
        <f>IFERROR(('Historical FS'!G16-'Historical FS'!G22)/'Historical FS'!G5,0)</f>
        <v>3.9224267917660205E-3</v>
      </c>
      <c r="H14" s="36">
        <f>IFERROR(('Historical FS'!H16-'Historical FS'!H22)/'Historical FS'!H5,0)</f>
        <v>7.2495678952419942E-2</v>
      </c>
      <c r="I14" s="36">
        <f>IFERROR(('Historical FS'!I16-'Historical FS'!I22)/'Historical FS'!I5,0)</f>
        <v>1.1008583763428888E-2</v>
      </c>
      <c r="J14" s="36">
        <f>IFERROR(('Historical FS'!J16-'Historical FS'!J22)/'Historical FS'!J5,0)</f>
        <v>-7.5377137881111377E-3</v>
      </c>
      <c r="K14" s="36">
        <f>IFERROR(('Historical FS'!K16-'Historical FS'!K22)/'Historical FS'!K5,0)</f>
        <v>6.3253428445034288E-2</v>
      </c>
      <c r="L14" s="36">
        <f>IFERROR(('Historical FS'!L16-'Historical FS'!L22)/'Historical FS'!L5,0)</f>
        <v>8.5586599802135566E-2</v>
      </c>
      <c r="N14" s="39">
        <f t="shared" si="0"/>
        <v>1.8543903268808434E-2</v>
      </c>
      <c r="O14" s="39">
        <f t="shared" si="1"/>
        <v>3.3367942025317121E-2</v>
      </c>
    </row>
    <row r="15" spans="2:15" x14ac:dyDescent="0.3">
      <c r="B15" t="s">
        <v>132</v>
      </c>
      <c r="C15" s="36">
        <f>IFERROR('Historical FS'!C26,0)</f>
        <v>6.1511300676516931E-2</v>
      </c>
      <c r="D15" s="36">
        <f>IFERROR('Historical FS'!D26,0)</f>
        <v>-2.7268647542343719E-2</v>
      </c>
      <c r="E15" s="36">
        <f>IFERROR('Historical FS'!E26,0)</f>
        <v>3.8728799211718589E-3</v>
      </c>
      <c r="F15" s="36">
        <f>IFERROR('Historical FS'!F26,0)</f>
        <v>-1.9154238082999112E-3</v>
      </c>
      <c r="G15" s="36">
        <f>IFERROR('Historical FS'!G26,0)</f>
        <v>-2.3822570037986789E-2</v>
      </c>
      <c r="H15" s="36">
        <f>IFERROR('Historical FS'!H26,0)</f>
        <v>4.0080385996903466E-2</v>
      </c>
      <c r="I15" s="36">
        <f>IFERROR('Historical FS'!I26,0)</f>
        <v>-2.2432748405282026E-2</v>
      </c>
      <c r="J15" s="36">
        <f>IFERROR('Historical FS'!J26,0)</f>
        <v>-3.7093945702388956E-2</v>
      </c>
      <c r="K15" s="36">
        <f>IFERROR('Historical FS'!K26,0)</f>
        <v>4.5756377645063774E-2</v>
      </c>
      <c r="L15" s="36">
        <f>IFERROR('Historical FS'!L26,0)</f>
        <v>7.4026313694720208E-2</v>
      </c>
      <c r="N15" s="39">
        <f t="shared" si="0"/>
        <v>9.7872805643597384E-4</v>
      </c>
      <c r="O15" s="39">
        <f t="shared" si="1"/>
        <v>1.1271392243807483E-2</v>
      </c>
    </row>
    <row r="16" spans="2:15" x14ac:dyDescent="0.3">
      <c r="B16" t="s">
        <v>133</v>
      </c>
      <c r="C16" s="36">
        <f>IFERROR('Historical FS'!C32,0)</f>
        <v>5.0432381990407359E-2</v>
      </c>
      <c r="D16" s="36">
        <f>IFERROR('Historical FS'!D32,0)</f>
        <v>-3.9323969360513598E-2</v>
      </c>
      <c r="E16" s="36">
        <f>IFERROR('Historical FS'!E32,0)</f>
        <v>-1.1019669732665105E-2</v>
      </c>
      <c r="F16" s="36">
        <f>IFERROR('Historical FS'!F32,0)</f>
        <v>6.1572492932333803E-3</v>
      </c>
      <c r="G16" s="36">
        <f>IFERROR('Historical FS'!G32,0)</f>
        <v>-2.5336543582883928E-2</v>
      </c>
      <c r="H16" s="36">
        <f>IFERROR('Historical FS'!H32,0)</f>
        <v>2.9904591669760883E-2</v>
      </c>
      <c r="I16" s="36">
        <f>IFERROR('Historical FS'!I32,0)</f>
        <v>-3.7628420847967456E-2</v>
      </c>
      <c r="J16" s="36">
        <f>IFERROR('Historical FS'!J32,0)</f>
        <v>-3.9128995464509313E-2</v>
      </c>
      <c r="K16" s="36">
        <f>IFERROR('Historical FS'!K32,0)</f>
        <v>5.5027925237779253E-2</v>
      </c>
      <c r="L16" s="36">
        <f>IFERROR('Historical FS'!L32,0)</f>
        <v>5.0141575410227547E-2</v>
      </c>
      <c r="N16" s="39">
        <f t="shared" si="0"/>
        <v>-2.4312102197158632E-3</v>
      </c>
      <c r="O16" s="39">
        <f t="shared" si="1"/>
        <v>3.9226124612869017E-3</v>
      </c>
    </row>
    <row r="17" spans="2:15" x14ac:dyDescent="0.3">
      <c r="N17" s="39"/>
      <c r="O17" s="39"/>
    </row>
    <row r="18" spans="2:15" x14ac:dyDescent="0.3">
      <c r="B18" t="s">
        <v>134</v>
      </c>
      <c r="C18" s="36">
        <f>IFERROR('Historical FS'!C14,0)</f>
        <v>0.10672678849247161</v>
      </c>
      <c r="D18" s="36">
        <f>IFERROR('Historical FS'!D14,0)</f>
        <v>0.12847809529452636</v>
      </c>
      <c r="E18" s="36">
        <f>IFERROR('Historical FS'!E14,0)</f>
        <v>0.10860201636437025</v>
      </c>
      <c r="F18" s="36">
        <f>IFERROR('Historical FS'!F14,0)</f>
        <v>0.11402504616835751</v>
      </c>
      <c r="G18" s="36">
        <f>IFERROR('Historical FS'!G14,0)</f>
        <v>0.12527323822987554</v>
      </c>
      <c r="H18" s="36">
        <f>IFERROR('Historical FS'!H14,0)</f>
        <v>8.8798023177028354E-2</v>
      </c>
      <c r="I18" s="36">
        <f>IFERROR('Historical FS'!I14,0)</f>
        <v>0.10929475436519734</v>
      </c>
      <c r="J18" s="36">
        <f>IFERROR('Historical FS'!J14,0)</f>
        <v>0.11488822184383672</v>
      </c>
      <c r="K18" s="36">
        <f>IFERROR('Historical FS'!K14,0)</f>
        <v>9.6337462213374622E-2</v>
      </c>
      <c r="L18" s="36">
        <f>IFERROR('Historical FS'!L14,0)</f>
        <v>9.9318846018262658E-2</v>
      </c>
      <c r="N18" s="39">
        <f t="shared" si="0"/>
        <v>0.1089483853647838</v>
      </c>
      <c r="O18" s="39">
        <f t="shared" si="1"/>
        <v>0.10917424921673009</v>
      </c>
    </row>
    <row r="19" spans="2:15" x14ac:dyDescent="0.3">
      <c r="B19" t="s">
        <v>135</v>
      </c>
      <c r="C19" s="36">
        <f>IFERROR('Historical FS'!C23,0)</f>
        <v>6.1201425695927715E-2</v>
      </c>
      <c r="D19" s="36">
        <f>IFERROR('Historical FS'!D23,0)</f>
        <v>6.63903865924938E-2</v>
      </c>
      <c r="E19" s="36">
        <f>IFERROR('Historical FS'!E23,0)</f>
        <v>7.3927472182518786E-2</v>
      </c>
      <c r="F19" s="36">
        <f>IFERROR('Historical FS'!F23,0)</f>
        <v>7.8130605447998658E-2</v>
      </c>
      <c r="G19" s="36">
        <f>IFERROR('Historical FS'!G23,0)</f>
        <v>8.206839774331566E-2</v>
      </c>
      <c r="H19" s="36">
        <f>IFERROR('Historical FS'!H23,0)</f>
        <v>9.4264230933596482E-2</v>
      </c>
      <c r="I19" s="36">
        <f>IFERROR('Historical FS'!I23,0)</f>
        <v>8.9191478279219347E-2</v>
      </c>
      <c r="J19" s="36">
        <f>IFERROR('Historical FS'!J23,0)</f>
        <v>7.1857611147098821E-2</v>
      </c>
      <c r="K19" s="36">
        <f>IFERROR('Historical FS'!K23,0)</f>
        <v>6.2760359065103591E-2</v>
      </c>
      <c r="L19" s="36">
        <f>IFERROR('Historical FS'!L23,0)</f>
        <v>5.2891208678743216E-2</v>
      </c>
      <c r="N19" s="39">
        <f t="shared" si="0"/>
        <v>7.2892541664808796E-2</v>
      </c>
      <c r="O19" s="39">
        <f t="shared" si="1"/>
        <v>7.3268317576601599E-2</v>
      </c>
    </row>
    <row r="20" spans="2:15" x14ac:dyDescent="0.3">
      <c r="B20" t="s">
        <v>136</v>
      </c>
      <c r="C20" s="4">
        <f>C14</f>
        <v>7.941702777851016E-2</v>
      </c>
      <c r="D20" s="4">
        <f t="shared" ref="D20:L20" si="2">D14</f>
        <v>-1.155441802962941E-2</v>
      </c>
      <c r="E20" s="4">
        <f t="shared" si="2"/>
        <v>1.99311282217749E-2</v>
      </c>
      <c r="F20" s="4">
        <f t="shared" si="2"/>
        <v>1.7156678315841972E-2</v>
      </c>
      <c r="G20" s="4">
        <f t="shared" si="2"/>
        <v>3.9224267917660205E-3</v>
      </c>
      <c r="H20" s="4">
        <f t="shared" si="2"/>
        <v>7.2495678952419942E-2</v>
      </c>
      <c r="I20" s="4">
        <f t="shared" si="2"/>
        <v>1.1008583763428888E-2</v>
      </c>
      <c r="J20" s="4">
        <f t="shared" si="2"/>
        <v>-7.5377137881111377E-3</v>
      </c>
      <c r="K20" s="4">
        <f t="shared" si="2"/>
        <v>6.3253428445034288E-2</v>
      </c>
      <c r="L20" s="4">
        <f t="shared" si="2"/>
        <v>8.5586599802135566E-2</v>
      </c>
      <c r="N20" s="39">
        <f t="shared" si="0"/>
        <v>1.8543903268808434E-2</v>
      </c>
      <c r="O20" s="39">
        <f t="shared" si="1"/>
        <v>3.3367942025317121E-2</v>
      </c>
    </row>
    <row r="21" spans="2:15" x14ac:dyDescent="0.3">
      <c r="N21" s="39"/>
      <c r="O21" s="39"/>
    </row>
    <row r="22" spans="2:15" x14ac:dyDescent="0.3">
      <c r="B22" t="s">
        <v>137</v>
      </c>
      <c r="C22" s="36">
        <f>IFERROR(('Historical FS'!C16-'Historical FS'!C19) / SUM('Historical FS'!C45:C47),0)</f>
        <v>0.22591621993499242</v>
      </c>
      <c r="D22" s="36">
        <f>IFERROR(('Historical FS'!D16-'Historical FS'!D19) / SUM('Historical FS'!D45:D47),0)</f>
        <v>7.7201718322211621E-2</v>
      </c>
      <c r="E22" s="36">
        <f>IFERROR(('Historical FS'!E16-'Historical FS'!E19) / SUM('Historical FS'!E45:E47),0)</f>
        <v>0.12302272099364371</v>
      </c>
      <c r="F22" s="36">
        <f>IFERROR(('Historical FS'!F16-'Historical FS'!F19) / SUM('Historical FS'!F45:F47),0)</f>
        <v>0.13833250478344805</v>
      </c>
      <c r="G22" s="36">
        <f>IFERROR(('Historical FS'!G16-'Historical FS'!G19) / SUM('Historical FS'!G45:G47),0)</f>
        <v>8.0941235987298674E-2</v>
      </c>
      <c r="H22" s="36">
        <f>IFERROR(('Historical FS'!H16-'Historical FS'!H19) / SUM('Historical FS'!H45:H47),0)</f>
        <v>0.17002249853567247</v>
      </c>
      <c r="I22" s="36">
        <f>IFERROR(('Historical FS'!I16-'Historical FS'!I19) / SUM('Historical FS'!I45:I47),0)</f>
        <v>9.7320473920067208E-2</v>
      </c>
      <c r="J22" s="36">
        <f>IFERROR(('Historical FS'!J16-'Historical FS'!J19) / SUM('Historical FS'!J45:J47),0)</f>
        <v>6.7027417079689261E-2</v>
      </c>
      <c r="K22" s="36">
        <f>IFERROR(('Historical FS'!K16-'Historical FS'!K19) / SUM('Historical FS'!K45:K47),0)</f>
        <v>0.2450697776066437</v>
      </c>
      <c r="L22" s="36">
        <f>IFERROR(('Historical FS'!L16-'Historical FS'!L19) / SUM('Historical FS'!L45:L47),0)</f>
        <v>0.29733488203576225</v>
      </c>
      <c r="N22" s="39">
        <f t="shared" si="0"/>
        <v>0.13067761288854587</v>
      </c>
      <c r="O22" s="39">
        <f t="shared" si="1"/>
        <v>0.15221894491994292</v>
      </c>
    </row>
    <row r="23" spans="2:15" x14ac:dyDescent="0.3">
      <c r="B23" t="s">
        <v>138</v>
      </c>
      <c r="C23" s="36">
        <f>IFERROR('Historical FS'!C42,0)</f>
        <v>0.99506765991253665</v>
      </c>
      <c r="D23" s="36">
        <f>IFERROR('Historical FS'!D42,0)</f>
        <v>0</v>
      </c>
      <c r="E23" s="36">
        <f>IFERROR('Historical FS'!E42,0)</f>
        <v>0</v>
      </c>
      <c r="F23" s="36">
        <f>IFERROR('Historical FS'!F42,0)</f>
        <v>1</v>
      </c>
      <c r="G23" s="36">
        <f>IFERROR('Historical FS'!G42,0)</f>
        <v>0</v>
      </c>
      <c r="H23" s="36">
        <f>IFERROR('Historical FS'!H42,0)</f>
        <v>1</v>
      </c>
      <c r="I23" s="36">
        <f>IFERROR('Historical FS'!I42,0)</f>
        <v>0</v>
      </c>
      <c r="J23" s="36">
        <f>IFERROR('Historical FS'!J42,0)</f>
        <v>0</v>
      </c>
      <c r="K23" s="36">
        <f>IFERROR('Historical FS'!K42,0)</f>
        <v>0.9036553196834568</v>
      </c>
      <c r="L23" s="36">
        <f>IFERROR('Historical FS'!L42,0)</f>
        <v>0.89985031977139751</v>
      </c>
      <c r="N23" s="39">
        <f t="shared" si="0"/>
        <v>0.44992515988569876</v>
      </c>
      <c r="O23" s="39">
        <f t="shared" si="1"/>
        <v>0.47985732993673907</v>
      </c>
    </row>
    <row r="24" spans="2:15" x14ac:dyDescent="0.3">
      <c r="B24" t="s">
        <v>139</v>
      </c>
      <c r="C24" s="36">
        <f>IFERROR('Historical FS'!C31/SUM('Historical FS'!C45:C46),0)</f>
        <v>0.17441316864171685</v>
      </c>
      <c r="D24" s="36">
        <f>IFERROR('Historical FS'!D31/SUM('Historical FS'!D45:D46),0)</f>
        <v>-0.18265647225744819</v>
      </c>
      <c r="E24" s="36">
        <f>IFERROR('Historical FS'!E31/SUM('Historical FS'!E45:E46),0)</f>
        <v>-3.3667194429805522E-2</v>
      </c>
      <c r="F24" s="36">
        <f>IFERROR('Historical FS'!F31/SUM('Historical FS'!F45:F46),0)</f>
        <v>3.0892715068040012E-2</v>
      </c>
      <c r="G24" s="36">
        <f>IFERROR('Historical FS'!G31/SUM('Historical FS'!G45:G46),0)</f>
        <v>-0.10486230417861726</v>
      </c>
      <c r="H24" s="36">
        <f>IFERROR('Historical FS'!H31/SUM('Historical FS'!H45:H46),0)</f>
        <v>0.13521182796010336</v>
      </c>
      <c r="I24" s="36">
        <f>IFERROR('Historical FS'!I31/SUM('Historical FS'!I45:I46),0)</f>
        <v>-0.23513192182264248</v>
      </c>
      <c r="J24" s="36">
        <f>IFERROR('Historical FS'!J31/SUM('Historical FS'!J45:J46),0)</f>
        <v>-0.29869385123579695</v>
      </c>
      <c r="K24" s="36">
        <f>IFERROR('Historical FS'!K31/SUM('Historical FS'!K45:K46),0)</f>
        <v>0.2812477919875645</v>
      </c>
      <c r="L24" s="36">
        <f>IFERROR('Historical FS'!L31/SUM('Historical FS'!L45:L46),0)</f>
        <v>0.18982470037195207</v>
      </c>
      <c r="N24" s="39">
        <f t="shared" si="0"/>
        <v>-1.3872396808827514E-3</v>
      </c>
      <c r="O24" s="39">
        <f t="shared" si="1"/>
        <v>-4.3421539894933662E-3</v>
      </c>
    </row>
    <row r="25" spans="2:15" x14ac:dyDescent="0.3">
      <c r="B25" t="s">
        <v>140</v>
      </c>
      <c r="C25" s="36">
        <f>IFERROR(C23*C24,0)</f>
        <v>0.17355290357824379</v>
      </c>
      <c r="D25" s="36">
        <f t="shared" ref="D25:L25" si="3">IFERROR(D23*D24,0)</f>
        <v>0</v>
      </c>
      <c r="E25" s="36">
        <f t="shared" si="3"/>
        <v>0</v>
      </c>
      <c r="F25" s="36">
        <f t="shared" si="3"/>
        <v>3.0892715068040012E-2</v>
      </c>
      <c r="G25" s="36">
        <f t="shared" si="3"/>
        <v>0</v>
      </c>
      <c r="H25" s="36">
        <f t="shared" si="3"/>
        <v>0.13521182796010336</v>
      </c>
      <c r="I25" s="36">
        <f t="shared" si="3"/>
        <v>0</v>
      </c>
      <c r="J25" s="36">
        <f t="shared" si="3"/>
        <v>0</v>
      </c>
      <c r="K25" s="36">
        <f t="shared" si="3"/>
        <v>0.25415106337878896</v>
      </c>
      <c r="L25" s="36">
        <f t="shared" si="3"/>
        <v>0.17081381733021078</v>
      </c>
      <c r="N25" s="39">
        <f t="shared" si="0"/>
        <v>1.5446357534020006E-2</v>
      </c>
      <c r="O25" s="39">
        <f t="shared" si="1"/>
        <v>7.6462232731538696E-2</v>
      </c>
    </row>
    <row r="26" spans="2:15" x14ac:dyDescent="0.3">
      <c r="B26" t="s">
        <v>141</v>
      </c>
      <c r="C26" s="37">
        <f>IFERROR(('Historical FS'!C16-'Historical FS'!C19)/'Historical FS'!C19,0)</f>
        <v>6.8532668722949861</v>
      </c>
      <c r="D26" s="37">
        <f>IFERROR(('Historical FS'!D16-'Historical FS'!D19)/'Historical FS'!D19,0)</f>
        <v>2.48957411615357</v>
      </c>
      <c r="E26" s="37">
        <f>IFERROR(('Historical FS'!E16-'Historical FS'!E19)/'Historical FS'!E19,0)</f>
        <v>4.8448841148364234</v>
      </c>
      <c r="F26" s="37">
        <f>IFERROR(('Historical FS'!F16-'Historical FS'!F19)/'Historical FS'!F19,0)</f>
        <v>3.9961605251276389</v>
      </c>
      <c r="G26" s="37">
        <f>IFERROR(('Historical FS'!G16-'Historical FS'!G19)/'Historical FS'!G19,0)</f>
        <v>2.0993272431326431</v>
      </c>
      <c r="H26" s="37">
        <f>IFERROR(('Historical FS'!H16-'Historical FS'!H19)/'Historical FS'!H19,0)</f>
        <v>4.1444825784811234</v>
      </c>
      <c r="I26" s="37">
        <f>IFERROR(('Historical FS'!I16-'Historical FS'!I19)/'Historical FS'!I19,0)</f>
        <v>1.996293973491869</v>
      </c>
      <c r="J26" s="37">
        <f>IFERROR(('Historical FS'!J16-'Historical FS'!J19)/'Historical FS'!J19,0)</f>
        <v>1.1761873281254249</v>
      </c>
      <c r="K26" s="37">
        <f>IFERROR(('Historical FS'!K16-'Historical FS'!K19)/'Historical FS'!K19,0)</f>
        <v>6.2020015801948905</v>
      </c>
      <c r="L26" s="37">
        <f>IFERROR(('Historical FS'!L16-'Historical FS'!L19)/'Historical FS'!L19,0)</f>
        <v>10.978752705095417</v>
      </c>
      <c r="N26" s="39">
        <f t="shared" si="0"/>
        <v>4.0703215518043816</v>
      </c>
      <c r="O26" s="39">
        <f t="shared" si="1"/>
        <v>4.4780931036933982</v>
      </c>
    </row>
    <row r="27" spans="2:15" x14ac:dyDescent="0.3">
      <c r="N27" s="39"/>
      <c r="O27" s="39"/>
    </row>
    <row r="28" spans="2:15" x14ac:dyDescent="0.3">
      <c r="B28" t="s">
        <v>142</v>
      </c>
      <c r="C28" s="37">
        <f>IFERROR('Historical FS'!C5/'Historical FS'!C57,0)</f>
        <v>20.119918266350599</v>
      </c>
      <c r="D28" s="37">
        <f>IFERROR('Historical FS'!D5/'Historical FS'!D57,0)</f>
        <v>19.160353236640844</v>
      </c>
      <c r="E28" s="37">
        <f>IFERROR('Historical FS'!E5/'Historical FS'!E57,0)</f>
        <v>14.655712224718874</v>
      </c>
      <c r="F28" s="37">
        <f>IFERROR('Historical FS'!F5/'Historical FS'!F57,0)</f>
        <v>15.894698773489607</v>
      </c>
      <c r="G28" s="37">
        <f>IFERROR('Historical FS'!G5/'Historical FS'!G57,0)</f>
        <v>23.366617170976728</v>
      </c>
      <c r="H28" s="37">
        <f>IFERROR('Historical FS'!H5/'Historical FS'!H57,0)</f>
        <v>19.701330853658153</v>
      </c>
      <c r="I28" s="37">
        <f>IFERROR('Historical FS'!I5/'Historical FS'!I57,0)</f>
        <v>22.379917570317598</v>
      </c>
      <c r="J28" s="37">
        <f>IFERROR('Historical FS'!J5/'Historical FS'!J57,0)</f>
        <v>21.982947610142858</v>
      </c>
      <c r="K28" s="37">
        <f>IFERROR('Historical FS'!K5/'Historical FS'!K57,0)</f>
        <v>25.602642756016991</v>
      </c>
      <c r="L28" s="37">
        <f>IFERROR('Historical FS'!L5/'Historical FS'!L57,0)</f>
        <v>33.189538043478258</v>
      </c>
      <c r="N28" s="39">
        <f t="shared" si="0"/>
        <v>21.051432938246727</v>
      </c>
      <c r="O28" s="39">
        <f t="shared" si="1"/>
        <v>21.605367650579048</v>
      </c>
    </row>
    <row r="29" spans="2:15" x14ac:dyDescent="0.3">
      <c r="B29" t="s">
        <v>143</v>
      </c>
      <c r="C29" s="37">
        <f>IFERROR('Historical FS'!C5/'Historical FS'!C48,0)</f>
        <v>2.3769603927858673</v>
      </c>
      <c r="D29" s="37">
        <f>IFERROR('Historical FS'!D5/'Historical FS'!D48,0)</f>
        <v>1.9842807783040648</v>
      </c>
      <c r="E29" s="37">
        <f>IFERROR('Historical FS'!E5/'Historical FS'!E48,0)</f>
        <v>2.0414780318629697</v>
      </c>
      <c r="F29" s="37">
        <f>IFERROR('Historical FS'!F5/'Historical FS'!F48,0)</f>
        <v>2.1667847518227492</v>
      </c>
      <c r="G29" s="37">
        <f>IFERROR('Historical FS'!G5/'Historical FS'!G48,0)</f>
        <v>1.9731057108276859</v>
      </c>
      <c r="H29" s="37">
        <f>IFERROR('Historical FS'!H5/'Historical FS'!H48,0)</f>
        <v>1.7323684804395676</v>
      </c>
      <c r="I29" s="37">
        <f>IFERROR('Historical FS'!I5/'Historical FS'!I48,0)</f>
        <v>2.0170312149360217</v>
      </c>
      <c r="J29" s="37">
        <f>IFERROR('Historical FS'!J5/'Historical FS'!J48,0)</f>
        <v>2.2286057258733614</v>
      </c>
      <c r="K29" s="37">
        <f>IFERROR('Historical FS'!K5/'Historical FS'!K48,0)</f>
        <v>2.4473804408505742</v>
      </c>
      <c r="L29" s="37">
        <f>IFERROR('Historical FS'!L5/'Historical FS'!L48,0)</f>
        <v>2.3228766594994954</v>
      </c>
      <c r="N29" s="39">
        <f t="shared" si="0"/>
        <v>2.1041313918428592</v>
      </c>
      <c r="O29" s="39">
        <f t="shared" si="1"/>
        <v>2.1290872187202359</v>
      </c>
    </row>
    <row r="30" spans="2:15" x14ac:dyDescent="0.3">
      <c r="B30" t="s">
        <v>144</v>
      </c>
      <c r="C30" s="37">
        <f>IFERROR('Historical FS'!C5/'Historical FS'!C58,0)</f>
        <v>8.3613381173839922</v>
      </c>
      <c r="D30" s="37">
        <f>IFERROR('Historical FS'!D5/'Historical FS'!D58,0)</f>
        <v>7.6867643466738649</v>
      </c>
      <c r="E30" s="37">
        <f>IFERROR('Historical FS'!E5/'Historical FS'!E58,0)</f>
        <v>6.9190051742350009</v>
      </c>
      <c r="F30" s="37">
        <f>IFERROR('Historical FS'!F5/'Historical FS'!F58,0)</f>
        <v>7.7392856309817084</v>
      </c>
      <c r="G30" s="37">
        <f>IFERROR('Historical FS'!G5/'Historical FS'!G58,0)</f>
        <v>6.9698269049637886</v>
      </c>
      <c r="H30" s="37">
        <f>IFERROR('Historical FS'!H5/'Historical FS'!H58,0)</f>
        <v>6.9217098811563442</v>
      </c>
      <c r="I30" s="37">
        <f>IFERROR('Historical FS'!I5/'Historical FS'!I58,0)</f>
        <v>7.9015588385356104</v>
      </c>
      <c r="J30" s="37">
        <f>IFERROR('Historical FS'!J5/'Historical FS'!J58,0)</f>
        <v>8.4888641723217457</v>
      </c>
      <c r="K30" s="37">
        <f>IFERROR('Historical FS'!K5/'Historical FS'!K58,0)</f>
        <v>9.0821126642671803</v>
      </c>
      <c r="L30" s="37">
        <f>IFERROR('Historical FS'!L5/'Historical FS'!L58,0)</f>
        <v>9.3019738094734397</v>
      </c>
      <c r="N30" s="39">
        <f t="shared" si="0"/>
        <v>7.8204222347586594</v>
      </c>
      <c r="O30" s="39">
        <f t="shared" si="1"/>
        <v>7.9372439539992667</v>
      </c>
    </row>
    <row r="31" spans="2:15" x14ac:dyDescent="0.3">
      <c r="B31" t="s">
        <v>145</v>
      </c>
      <c r="C31" s="37">
        <f>IFERROR('Historical FS'!C5/'Historical FS'!C51,0)</f>
        <v>2.546312771514708</v>
      </c>
      <c r="D31" s="37">
        <f>IFERROR('Historical FS'!D5/'Historical FS'!D51,0)</f>
        <v>2.8109343484246239</v>
      </c>
      <c r="E31" s="37">
        <f>IFERROR('Historical FS'!E5/'Historical FS'!E51,0)</f>
        <v>2.4012948768781421</v>
      </c>
      <c r="F31" s="37">
        <f>IFERROR('Historical FS'!F5/'Historical FS'!F51,0)</f>
        <v>2.7144319562092578</v>
      </c>
      <c r="G31" s="37">
        <f>IFERROR('Historical FS'!G5/'Historical FS'!G51,0)</f>
        <v>2.0539205744067566</v>
      </c>
      <c r="H31" s="37">
        <f>IFERROR('Historical FS'!H5/'Historical FS'!H51,0)</f>
        <v>1.8008727134726064</v>
      </c>
      <c r="I31" s="37">
        <f>IFERROR('Historical FS'!I5/'Historical FS'!I51,0)</f>
        <v>2.0053488717943728</v>
      </c>
      <c r="J31" s="37">
        <f>IFERROR('Historical FS'!J5/'Historical FS'!J51,0)</f>
        <v>2.6193791539294131</v>
      </c>
      <c r="K31" s="37">
        <f>IFERROR('Historical FS'!K5/'Historical FS'!K51,0)</f>
        <v>3.5784804386362699</v>
      </c>
      <c r="L31" s="37">
        <f>IFERROR('Historical FS'!L5/'Historical FS'!L51,0)</f>
        <v>3.8004010475638954</v>
      </c>
      <c r="N31" s="39">
        <f t="shared" si="0"/>
        <v>2.5828459627220606</v>
      </c>
      <c r="O31" s="39">
        <f t="shared" si="1"/>
        <v>2.6331376752830042</v>
      </c>
    </row>
    <row r="32" spans="2:15" x14ac:dyDescent="0.3">
      <c r="B32" t="s">
        <v>146</v>
      </c>
      <c r="C32" s="37">
        <f>IFERROR('Historical FS'!C5/SUM('Historical FS'!C45:C47),0)</f>
        <v>1.8410170372167878</v>
      </c>
      <c r="D32" s="37">
        <f>IFERROR('Historical FS'!D5/SUM('Historical FS'!D45:D47),0)</f>
        <v>1.9733713325792315</v>
      </c>
      <c r="E32" s="37">
        <f>IFERROR('Historical FS'!E5/SUM('Historical FS'!E45:E47),0)</f>
        <v>1.5812617509710194</v>
      </c>
      <c r="F32" s="37">
        <f>IFERROR('Historical FS'!F5/SUM('Historical FS'!F45:F47),0)</f>
        <v>1.8150255868627858</v>
      </c>
      <c r="G32" s="37">
        <f>IFERROR('Historical FS'!G5/SUM('Historical FS'!G45:G47),0)</f>
        <v>1.3896486525487799</v>
      </c>
      <c r="H32" s="37">
        <f>IFERROR('Historical FS'!H5/SUM('Historical FS'!H45:H47),0)</f>
        <v>1.2655698636859387</v>
      </c>
      <c r="I32" s="37">
        <f>IFERROR('Historical FS'!I5/SUM('Historical FS'!I45:I47),0)</f>
        <v>1.4577939709733934</v>
      </c>
      <c r="J32" s="37">
        <f>IFERROR('Historical FS'!J5/SUM('Historical FS'!J45:J47),0)</f>
        <v>1.9280883135379825</v>
      </c>
      <c r="K32" s="37">
        <f>IFERROR('Historical FS'!K5/SUM('Historical FS'!K45:K47),0)</f>
        <v>2.2583592636146985</v>
      </c>
      <c r="L32" s="37">
        <f>IFERROR('Historical FS'!L5/SUM('Historical FS'!L45:L47),0)</f>
        <v>2.3427409901749749</v>
      </c>
      <c r="N32" s="39">
        <f t="shared" si="0"/>
        <v>1.8280213120397868</v>
      </c>
      <c r="O32" s="39">
        <f t="shared" si="1"/>
        <v>1.7852876762165593</v>
      </c>
    </row>
    <row r="33" spans="2:15" x14ac:dyDescent="0.3">
      <c r="N33" s="39"/>
      <c r="O33" s="39"/>
    </row>
    <row r="34" spans="2:15" x14ac:dyDescent="0.3">
      <c r="B34" s="38"/>
      <c r="N34" s="39"/>
      <c r="O34" s="39"/>
    </row>
    <row r="35" spans="2:15" x14ac:dyDescent="0.3">
      <c r="B35" t="s">
        <v>147</v>
      </c>
      <c r="C35" s="39">
        <f>IFERROR(365/C28,0)</f>
        <v>18.141226776772818</v>
      </c>
      <c r="D35" s="39">
        <f t="shared" ref="D35:L35" si="4">IFERROR(365/D28,0)</f>
        <v>19.049753180019717</v>
      </c>
      <c r="E35" s="39">
        <f t="shared" si="4"/>
        <v>24.904964999543136</v>
      </c>
      <c r="F35" s="39">
        <f t="shared" si="4"/>
        <v>22.963631157878556</v>
      </c>
      <c r="G35" s="39">
        <f t="shared" si="4"/>
        <v>15.620575170519771</v>
      </c>
      <c r="H35" s="39">
        <f t="shared" si="4"/>
        <v>18.52666719376608</v>
      </c>
      <c r="I35" s="39">
        <f t="shared" si="4"/>
        <v>16.309264717046954</v>
      </c>
      <c r="J35" s="39">
        <f t="shared" si="4"/>
        <v>16.603778823163378</v>
      </c>
      <c r="K35" s="39">
        <f t="shared" si="4"/>
        <v>14.256340780063407</v>
      </c>
      <c r="L35" s="39">
        <f t="shared" si="4"/>
        <v>10.997441408248902</v>
      </c>
      <c r="N35" s="39">
        <f t="shared" si="0"/>
        <v>17.372502799968096</v>
      </c>
      <c r="O35" s="39">
        <f t="shared" si="1"/>
        <v>17.737364420702271</v>
      </c>
    </row>
    <row r="36" spans="2:15" x14ac:dyDescent="0.3">
      <c r="B36" t="s">
        <v>148</v>
      </c>
      <c r="C36" s="39">
        <f>IFERROR(365/C29,0)</f>
        <v>153.55745981623585</v>
      </c>
      <c r="D36" s="39">
        <f t="shared" ref="D36:L36" si="5">IFERROR(365/D29,0)</f>
        <v>183.94574194885871</v>
      </c>
      <c r="E36" s="39">
        <f t="shared" si="5"/>
        <v>178.79202925682029</v>
      </c>
      <c r="F36" s="39">
        <f t="shared" si="5"/>
        <v>168.45235766633192</v>
      </c>
      <c r="G36" s="39">
        <f t="shared" si="5"/>
        <v>184.98755439052903</v>
      </c>
      <c r="H36" s="39">
        <f t="shared" si="5"/>
        <v>210.69420514242194</v>
      </c>
      <c r="I36" s="39">
        <f t="shared" si="5"/>
        <v>180.95902398395825</v>
      </c>
      <c r="J36" s="39">
        <f t="shared" si="5"/>
        <v>163.77953074537726</v>
      </c>
      <c r="K36" s="39">
        <f t="shared" si="5"/>
        <v>149.13905247732802</v>
      </c>
      <c r="L36" s="39">
        <f t="shared" si="5"/>
        <v>157.13275111156597</v>
      </c>
      <c r="N36" s="39">
        <f t="shared" si="0"/>
        <v>173.6221934615761</v>
      </c>
      <c r="O36" s="39">
        <f t="shared" si="1"/>
        <v>173.14397065394274</v>
      </c>
    </row>
    <row r="37" spans="2:15" x14ac:dyDescent="0.3">
      <c r="B37" t="s">
        <v>149</v>
      </c>
      <c r="C37" s="39">
        <f>IFERROR(365/C30,0)</f>
        <v>43.653299851746382</v>
      </c>
      <c r="D37" s="39">
        <f t="shared" ref="D37:L37" si="6">IFERROR(365/D30,0)</f>
        <v>47.484218786795374</v>
      </c>
      <c r="E37" s="39">
        <f t="shared" si="6"/>
        <v>52.753248596949661</v>
      </c>
      <c r="F37" s="39">
        <f t="shared" si="6"/>
        <v>47.161975588398164</v>
      </c>
      <c r="G37" s="39">
        <f t="shared" si="6"/>
        <v>52.368588915752468</v>
      </c>
      <c r="H37" s="39">
        <f t="shared" si="6"/>
        <v>52.732634893247351</v>
      </c>
      <c r="I37" s="39">
        <f t="shared" si="6"/>
        <v>46.193416698982041</v>
      </c>
      <c r="J37" s="39">
        <f t="shared" si="6"/>
        <v>42.997507392107408</v>
      </c>
      <c r="K37" s="39">
        <f t="shared" si="6"/>
        <v>40.188887045638872</v>
      </c>
      <c r="L37" s="39">
        <f t="shared" si="6"/>
        <v>39.238983841071651</v>
      </c>
      <c r="N37" s="39">
        <f t="shared" si="0"/>
        <v>46.677696143690099</v>
      </c>
      <c r="O37" s="39">
        <f t="shared" si="1"/>
        <v>46.477276161068936</v>
      </c>
    </row>
    <row r="38" spans="2:15" x14ac:dyDescent="0.3">
      <c r="B38" t="s">
        <v>153</v>
      </c>
      <c r="C38" s="39">
        <f>IFERROR(SUM(C35,C37)-C36,0)</f>
        <v>-91.762933187716641</v>
      </c>
      <c r="D38" s="39">
        <f t="shared" ref="D38:L38" si="7">IFERROR(SUM(D35,D37)-D36,0)</f>
        <v>-117.41176998204362</v>
      </c>
      <c r="E38" s="39">
        <f t="shared" si="7"/>
        <v>-101.13381566032749</v>
      </c>
      <c r="F38" s="39">
        <f t="shared" si="7"/>
        <v>-98.326750920055204</v>
      </c>
      <c r="G38" s="39">
        <f t="shared" si="7"/>
        <v>-116.99839030425679</v>
      </c>
      <c r="H38" s="39">
        <f t="shared" si="7"/>
        <v>-139.43490305540851</v>
      </c>
      <c r="I38" s="39">
        <f t="shared" si="7"/>
        <v>-118.45634256792925</v>
      </c>
      <c r="J38" s="39">
        <f t="shared" si="7"/>
        <v>-104.17824453010647</v>
      </c>
      <c r="K38" s="39">
        <f t="shared" si="7"/>
        <v>-94.693824651625746</v>
      </c>
      <c r="L38" s="39">
        <f t="shared" si="7"/>
        <v>-106.89632586224542</v>
      </c>
      <c r="N38" s="39">
        <f>MEDIAN(C38:L38)</f>
        <v>-105.53728519617594</v>
      </c>
      <c r="O38" s="39">
        <f t="shared" si="1"/>
        <v>-108.92933007217152</v>
      </c>
    </row>
    <row r="39" spans="2:15" x14ac:dyDescent="0.3">
      <c r="N39" s="39"/>
      <c r="O39" s="39"/>
    </row>
    <row r="40" spans="2:15" x14ac:dyDescent="0.3">
      <c r="B40" t="s">
        <v>150</v>
      </c>
      <c r="C40">
        <f>IFERROR('Historical FS'!C76/'Historical FS'!C5,0)</f>
        <v>7.0501044514176391E-3</v>
      </c>
      <c r="D40">
        <f>IFERROR('Historical FS'!D76/'Historical FS'!D5,0)</f>
        <v>5.0464879428798372E-3</v>
      </c>
      <c r="E40">
        <f>IFERROR('Historical FS'!E76/'Historical FS'!E5,0)</f>
        <v>1.4361149396838586E-2</v>
      </c>
      <c r="F40">
        <f>IFERROR('Historical FS'!F76/'Historical FS'!F5,0)</f>
        <v>2.1862075178248275E-2</v>
      </c>
      <c r="G40">
        <f>IFERROR('Historical FS'!G76/'Historical FS'!G5,0)</f>
        <v>-1.247567826876656E-2</v>
      </c>
      <c r="H40">
        <f>IFERROR('Historical FS'!H76/'Historical FS'!H5,0)</f>
        <v>4.5893678710221091E-2</v>
      </c>
      <c r="I40">
        <f>IFERROR('Historical FS'!I76/'Historical FS'!I5,0)</f>
        <v>2.8859384194753871E-2</v>
      </c>
      <c r="J40">
        <f>IFERROR('Historical FS'!J76/'Historical FS'!J5,0)</f>
        <v>1.361112594072203E-2</v>
      </c>
      <c r="K40">
        <f>IFERROR('Historical FS'!K76/'Historical FS'!K5,0)</f>
        <v>2.0844853645948538E-2</v>
      </c>
      <c r="L40">
        <f>IFERROR('Historical FS'!L76/'Historical FS'!L5,0)</f>
        <v>2.4942289541614072E-2</v>
      </c>
      <c r="N40" s="39">
        <f t="shared" ref="N40:N42" si="8">MEDIAN(C40:L40)</f>
        <v>1.760300152139356E-2</v>
      </c>
      <c r="O40" s="39">
        <f t="shared" si="1"/>
        <v>1.6999547073387737E-2</v>
      </c>
    </row>
    <row r="41" spans="2:15" x14ac:dyDescent="0.3">
      <c r="B41" t="s">
        <v>151</v>
      </c>
      <c r="C41">
        <f>IFERROR('Historical FS'!C76/'Historical FS'!C62,0)</f>
        <v>7.3142710890003546E-3</v>
      </c>
      <c r="D41">
        <f>IFERROR('Historical FS'!D76/'Historical FS'!D62,0)</f>
        <v>4.9930229749494794E-3</v>
      </c>
      <c r="E41">
        <f>IFERROR('Historical FS'!E76/'Historical FS'!E62,0)</f>
        <v>1.2796775078202599E-2</v>
      </c>
      <c r="F41">
        <f>IFERROR('Historical FS'!F76/'Historical FS'!F62,0)</f>
        <v>2.1592818583785225E-2</v>
      </c>
      <c r="G41">
        <f>IFERROR('Historical FS'!G76/'Historical FS'!G62,0)</f>
        <v>-1.0172422403578194E-2</v>
      </c>
      <c r="H41">
        <f>IFERROR('Historical FS'!H76/'Historical FS'!H62,0)</f>
        <v>3.3562675353926819E-2</v>
      </c>
      <c r="I41">
        <f>IFERROR('Historical FS'!I76/'Historical FS'!I62,0)</f>
        <v>2.442096764346384E-2</v>
      </c>
      <c r="J41">
        <f>IFERROR('Historical FS'!J76/'Historical FS'!J62,0)</f>
        <v>1.4070390737649121E-2</v>
      </c>
      <c r="K41">
        <f>IFERROR('Historical FS'!K76/'Historical FS'!K62,0)</f>
        <v>2.4483046971620015E-2</v>
      </c>
      <c r="L41">
        <f>IFERROR('Historical FS'!L76/'Historical FS'!L62,0)</f>
        <v>2.9092269207609035E-2</v>
      </c>
      <c r="N41" s="39">
        <f t="shared" si="8"/>
        <v>1.7831604660717173E-2</v>
      </c>
      <c r="O41" s="39">
        <f t="shared" si="1"/>
        <v>1.6215381523662829E-2</v>
      </c>
    </row>
    <row r="42" spans="2:15" x14ac:dyDescent="0.3">
      <c r="B42" t="s">
        <v>152</v>
      </c>
      <c r="C42">
        <f>IFERROR('Historical FS'!C76/'Historical FS'!C47,0)</f>
        <v>2.7753764563878063E-2</v>
      </c>
      <c r="D42">
        <f>IFERROR('Historical FS'!D76/'Historical FS'!D47,0)</f>
        <v>1.7314644881849497E-2</v>
      </c>
      <c r="E42">
        <f>IFERROR('Historical FS'!E76/'Historical FS'!E47,0)</f>
        <v>4.7071139702803147E-2</v>
      </c>
      <c r="F42">
        <f>IFERROR('Historical FS'!F76/'Historical FS'!F47,0)</f>
        <v>6.2170745108986701E-2</v>
      </c>
      <c r="G42">
        <f>IFERROR('Historical FS'!G76/'Historical FS'!G47,0)</f>
        <v>-2.6100341347909135E-2</v>
      </c>
      <c r="H42">
        <f>IFERROR('Historical FS'!H76/'Historical FS'!H47,0)</f>
        <v>8.0658228557023301E-2</v>
      </c>
      <c r="I42">
        <f>IFERROR('Historical FS'!I76/'Historical FS'!I47,0)</f>
        <v>5.4872333398179561E-2</v>
      </c>
      <c r="J42">
        <f>IFERROR('Historical FS'!J76/'Historical FS'!J47,0)</f>
        <v>3.5112066322361128E-2</v>
      </c>
      <c r="K42">
        <f>IFERROR('Historical FS'!K76/'Historical FS'!K47,0)</f>
        <v>8.4343302505966583E-2</v>
      </c>
      <c r="L42">
        <f>IFERROR('Historical FS'!L76/'Historical FS'!L47,0)</f>
        <v>0.15329885378809058</v>
      </c>
      <c r="N42" s="39">
        <f t="shared" si="8"/>
        <v>5.0971736550491351E-2</v>
      </c>
      <c r="O42" s="39">
        <f t="shared" si="1"/>
        <v>5.3649473748122942E-2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02180709-BB5B-4795-9468-8A38AD994D02}">
          <x14:colorSeries rgb="FF002060"/>
          <x14:colorNegative theme="1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analysis'!D4:L4</xm:f>
              <xm:sqref>M4</xm:sqref>
            </x14:sparkline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  <x14:sparkline>
              <xm:f>'Ratio analysis'!D42:L42</xm:f>
              <xm:sqref>M42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393E-7ECC-46F4-A3ED-5E68A08EC7D1}">
  <dimension ref="B2:K20"/>
  <sheetViews>
    <sheetView showGridLines="0" workbookViewId="0">
      <selection activeCell="H26" sqref="H26"/>
    </sheetView>
  </sheetViews>
  <sheetFormatPr defaultRowHeight="14.4" x14ac:dyDescent="0.3"/>
  <cols>
    <col min="1" max="1" width="1.88671875" customWidth="1"/>
    <col min="2" max="2" width="11.6640625" customWidth="1"/>
    <col min="5" max="5" width="13.77734375" customWidth="1"/>
    <col min="8" max="8" width="11.33203125" customWidth="1"/>
    <col min="11" max="11" width="13.77734375" customWidth="1"/>
  </cols>
  <sheetData>
    <row r="2" spans="2:11" x14ac:dyDescent="0.3">
      <c r="B2" s="98" t="str">
        <f>'Data Sheet'!B1&amp;" - "&amp;'Data Sheet'!A17</f>
        <v>TATA MOTORS LTD - Sales</v>
      </c>
      <c r="C2" s="98"/>
      <c r="D2" s="98"/>
      <c r="E2" s="98"/>
      <c r="H2" s="98" t="str">
        <f>'Data Sheet'!B1&amp;" - "&amp;'Historical FS'!B16</f>
        <v>TATA MOTORS LTD - EBIDTA</v>
      </c>
      <c r="I2" s="98"/>
      <c r="J2" s="98"/>
      <c r="K2" s="98"/>
    </row>
    <row r="3" spans="2:11" x14ac:dyDescent="0.3">
      <c r="B3" s="15" t="s">
        <v>157</v>
      </c>
      <c r="C3" s="17" t="s">
        <v>158</v>
      </c>
      <c r="D3" s="17" t="s">
        <v>1</v>
      </c>
      <c r="E3" s="17" t="s">
        <v>159</v>
      </c>
      <c r="H3" s="15" t="s">
        <v>157</v>
      </c>
      <c r="I3" s="17" t="s">
        <v>158</v>
      </c>
      <c r="J3" s="17" t="s">
        <v>64</v>
      </c>
      <c r="K3" s="17" t="s">
        <v>160</v>
      </c>
    </row>
    <row r="4" spans="2:11" x14ac:dyDescent="0.3">
      <c r="B4">
        <f>1</f>
        <v>1</v>
      </c>
      <c r="C4" s="41">
        <f>'Data Sheet'!B16</f>
        <v>42460</v>
      </c>
      <c r="D4" cm="1">
        <f t="array" ref="D4:D13">TRANSPOSE('Data Sheet'!B17:K17)</f>
        <v>273045.59999999998</v>
      </c>
      <c r="H4">
        <f>1</f>
        <v>1</v>
      </c>
      <c r="I4" s="42">
        <f>'Data Sheet'!B16</f>
        <v>42460</v>
      </c>
      <c r="J4" cm="1">
        <f t="array" ref="J4:J13">TRANSPOSE('Historical FS'!C16:L16)</f>
        <v>38395.249999999971</v>
      </c>
    </row>
    <row r="5" spans="2:11" x14ac:dyDescent="0.3">
      <c r="B5">
        <f>B4+1</f>
        <v>2</v>
      </c>
      <c r="C5" s="41">
        <f>C4+365</f>
        <v>42825</v>
      </c>
      <c r="D5">
        <v>269692.51</v>
      </c>
      <c r="E5" s="4">
        <f>(D5-D4)/D4</f>
        <v>-1.2280329732469477E-2</v>
      </c>
      <c r="H5">
        <f>H4+1</f>
        <v>2</v>
      </c>
      <c r="I5" s="42">
        <f>I4+365</f>
        <v>42825</v>
      </c>
      <c r="J5">
        <v>14788.849999999991</v>
      </c>
      <c r="K5" s="4">
        <f>(J5-J4)/J4</f>
        <v>-0.61482605270183155</v>
      </c>
    </row>
    <row r="6" spans="2:11" x14ac:dyDescent="0.3">
      <c r="B6">
        <f t="shared" ref="B6:B18" si="0">B5+1</f>
        <v>3</v>
      </c>
      <c r="C6" s="41">
        <f t="shared" ref="C6:C18" si="1">C5+365</f>
        <v>43190</v>
      </c>
      <c r="D6">
        <v>291550.48</v>
      </c>
      <c r="E6" s="4">
        <f t="shared" ref="E6:E18" si="2">(D6-D5)/D5</f>
        <v>8.1047745819859698E-2</v>
      </c>
      <c r="H6">
        <f t="shared" ref="H6" si="3">H5+1</f>
        <v>3</v>
      </c>
      <c r="I6" s="42">
        <f t="shared" ref="I6:I18" si="4">I5+365</f>
        <v>43190</v>
      </c>
      <c r="J6">
        <v>27364.520000000019</v>
      </c>
      <c r="K6" s="4">
        <f t="shared" ref="K6:K18" si="5">(J6-J5)/J5</f>
        <v>0.85034806627966575</v>
      </c>
    </row>
    <row r="7" spans="2:11" x14ac:dyDescent="0.3">
      <c r="B7">
        <f t="shared" si="0"/>
        <v>4</v>
      </c>
      <c r="C7" s="41">
        <f t="shared" si="1"/>
        <v>43555</v>
      </c>
      <c r="D7">
        <v>301938.40000000002</v>
      </c>
      <c r="E7" s="4">
        <f t="shared" si="2"/>
        <v>3.5629919045237185E-2</v>
      </c>
      <c r="H7">
        <f t="shared" ref="H7" si="6">H6+1</f>
        <v>4</v>
      </c>
      <c r="I7" s="42">
        <f t="shared" si="4"/>
        <v>43555</v>
      </c>
      <c r="J7">
        <v>28770.890000000021</v>
      </c>
      <c r="K7" s="4">
        <f t="shared" si="5"/>
        <v>5.1393921764386938E-2</v>
      </c>
    </row>
    <row r="8" spans="2:11" x14ac:dyDescent="0.3">
      <c r="B8">
        <f t="shared" si="0"/>
        <v>5</v>
      </c>
      <c r="C8" s="41">
        <f t="shared" si="1"/>
        <v>43920</v>
      </c>
      <c r="D8">
        <v>261067.97</v>
      </c>
      <c r="E8" s="4">
        <f t="shared" si="2"/>
        <v>-0.135360159555724</v>
      </c>
      <c r="H8">
        <f t="shared" ref="H8" si="7">H7+1</f>
        <v>5</v>
      </c>
      <c r="I8" s="42">
        <f t="shared" si="4"/>
        <v>43920</v>
      </c>
      <c r="J8">
        <v>22449.449999999968</v>
      </c>
      <c r="K8" s="4">
        <f t="shared" si="5"/>
        <v>-0.21971652597469346</v>
      </c>
    </row>
    <row r="9" spans="2:11" x14ac:dyDescent="0.3">
      <c r="B9">
        <f t="shared" si="0"/>
        <v>6</v>
      </c>
      <c r="C9" s="41">
        <f t="shared" si="1"/>
        <v>44285</v>
      </c>
      <c r="D9">
        <v>249794.75</v>
      </c>
      <c r="E9" s="4">
        <f t="shared" si="2"/>
        <v>-4.3181168490336062E-2</v>
      </c>
      <c r="H9">
        <f t="shared" ref="H9" si="8">H8+1</f>
        <v>6</v>
      </c>
      <c r="I9" s="42">
        <f t="shared" si="4"/>
        <v>44285</v>
      </c>
      <c r="J9">
        <v>41655.75</v>
      </c>
      <c r="K9" s="4">
        <f t="shared" si="5"/>
        <v>0.85553543628017881</v>
      </c>
    </row>
    <row r="10" spans="2:11" x14ac:dyDescent="0.3">
      <c r="B10">
        <f t="shared" si="0"/>
        <v>7</v>
      </c>
      <c r="C10" s="41">
        <f t="shared" si="1"/>
        <v>44650</v>
      </c>
      <c r="D10">
        <v>278453.62</v>
      </c>
      <c r="E10" s="4">
        <f t="shared" si="2"/>
        <v>0.11472967306158355</v>
      </c>
      <c r="H10">
        <f t="shared" ref="H10" si="9">H9+1</f>
        <v>7</v>
      </c>
      <c r="I10" s="42">
        <f t="shared" si="4"/>
        <v>44650</v>
      </c>
      <c r="J10">
        <v>27901.069999999996</v>
      </c>
      <c r="K10" s="4">
        <f t="shared" si="5"/>
        <v>-0.33019883209400874</v>
      </c>
    </row>
    <row r="11" spans="2:11" x14ac:dyDescent="0.3">
      <c r="B11">
        <f t="shared" si="0"/>
        <v>8</v>
      </c>
      <c r="C11" s="41">
        <f t="shared" si="1"/>
        <v>45015</v>
      </c>
      <c r="D11">
        <v>345966.97</v>
      </c>
      <c r="E11" s="4">
        <f t="shared" si="2"/>
        <v>0.24245815155859701</v>
      </c>
      <c r="H11">
        <f t="shared" ref="H11" si="10">H10+1</f>
        <v>8</v>
      </c>
      <c r="I11" s="42">
        <f t="shared" si="4"/>
        <v>45015</v>
      </c>
      <c r="J11">
        <v>22252.559999999969</v>
      </c>
      <c r="K11" s="4">
        <f t="shared" si="5"/>
        <v>-0.20244779142878852</v>
      </c>
    </row>
    <row r="12" spans="2:11" x14ac:dyDescent="0.3">
      <c r="B12">
        <f t="shared" si="0"/>
        <v>9</v>
      </c>
      <c r="C12" s="41">
        <f t="shared" si="1"/>
        <v>45380</v>
      </c>
      <c r="D12">
        <v>434016</v>
      </c>
      <c r="E12" s="4">
        <f t="shared" si="2"/>
        <v>0.25450126062612288</v>
      </c>
      <c r="H12">
        <f t="shared" ref="H12" si="11">H11+1</f>
        <v>9</v>
      </c>
      <c r="I12" s="42">
        <f t="shared" si="4"/>
        <v>45380</v>
      </c>
      <c r="J12">
        <v>54692</v>
      </c>
      <c r="K12" s="4">
        <f t="shared" si="5"/>
        <v>1.457784632419824</v>
      </c>
    </row>
    <row r="13" spans="2:11" x14ac:dyDescent="0.3">
      <c r="B13">
        <f t="shared" si="0"/>
        <v>10</v>
      </c>
      <c r="C13" s="41">
        <f t="shared" si="1"/>
        <v>45745</v>
      </c>
      <c r="D13">
        <v>439695</v>
      </c>
      <c r="E13" s="4">
        <f t="shared" si="2"/>
        <v>1.3084771068347711E-2</v>
      </c>
      <c r="H13">
        <f t="shared" ref="H13" si="12">H12+1</f>
        <v>10</v>
      </c>
      <c r="I13" s="42">
        <f t="shared" si="4"/>
        <v>45745</v>
      </c>
      <c r="J13">
        <v>60888</v>
      </c>
      <c r="K13" s="4">
        <f t="shared" si="5"/>
        <v>0.113288963650991</v>
      </c>
    </row>
    <row r="14" spans="2:11" x14ac:dyDescent="0.3">
      <c r="B14" s="43">
        <f t="shared" si="0"/>
        <v>11</v>
      </c>
      <c r="C14" s="44">
        <f t="shared" si="1"/>
        <v>46110</v>
      </c>
      <c r="D14" s="43">
        <f>_xlfn.FORECAST.LINEAR(B14,_xlfn.ANCHORARRAY($D$4),$B$4:$B$13)</f>
        <v>409204.26066666667</v>
      </c>
      <c r="E14" s="45">
        <f t="shared" si="2"/>
        <v>-6.9345203682855919E-2</v>
      </c>
      <c r="H14" s="43">
        <f t="shared" ref="H14" si="13">H13+1</f>
        <v>11</v>
      </c>
      <c r="I14" s="46">
        <f t="shared" si="4"/>
        <v>46110</v>
      </c>
      <c r="J14" s="43">
        <f>_xlfn.FORECAST.LINEAR(H14,_xlfn.ANCHORARRAY($J$4),$H$4:$H$13)</f>
        <v>49675.628666666671</v>
      </c>
      <c r="K14" s="45">
        <f t="shared" si="5"/>
        <v>-0.18414747295580949</v>
      </c>
    </row>
    <row r="15" spans="2:11" x14ac:dyDescent="0.3">
      <c r="B15" s="43">
        <f t="shared" si="0"/>
        <v>12</v>
      </c>
      <c r="C15" s="44">
        <f t="shared" si="1"/>
        <v>46475</v>
      </c>
      <c r="D15" s="43">
        <f t="shared" ref="D15:D18" si="14">_xlfn.FORECAST.LINEAR(B15,_xlfn.ANCHORARRAY($D$4),$B$4:$B$13)</f>
        <v>426419.19351515151</v>
      </c>
      <c r="E15" s="45">
        <f t="shared" si="2"/>
        <v>4.2069290335439428E-2</v>
      </c>
      <c r="H15" s="43">
        <f t="shared" ref="H15" si="15">H14+1</f>
        <v>12</v>
      </c>
      <c r="I15" s="46">
        <f t="shared" si="4"/>
        <v>46475</v>
      </c>
      <c r="J15" s="43">
        <f t="shared" ref="J15:J18" si="16">_xlfn.FORECAST.LINEAR(H15,_xlfn.ANCHORARRAY($J$4),$H$4:$H$13)</f>
        <v>52541.045878787882</v>
      </c>
      <c r="K15" s="45">
        <f t="shared" si="5"/>
        <v>5.7682555591771746E-2</v>
      </c>
    </row>
    <row r="16" spans="2:11" x14ac:dyDescent="0.3">
      <c r="B16" s="43">
        <f t="shared" si="0"/>
        <v>13</v>
      </c>
      <c r="C16" s="44">
        <f t="shared" si="1"/>
        <v>46840</v>
      </c>
      <c r="D16" s="43">
        <f t="shared" si="14"/>
        <v>443634.12636363634</v>
      </c>
      <c r="E16" s="45">
        <f t="shared" si="2"/>
        <v>4.0370914607700828E-2</v>
      </c>
      <c r="H16" s="43">
        <f t="shared" ref="H16" si="17">H15+1</f>
        <v>13</v>
      </c>
      <c r="I16" s="46">
        <f t="shared" si="4"/>
        <v>46840</v>
      </c>
      <c r="J16" s="43">
        <f t="shared" si="16"/>
        <v>55406.463090909092</v>
      </c>
      <c r="K16" s="45">
        <f t="shared" si="5"/>
        <v>5.4536737215542377E-2</v>
      </c>
    </row>
    <row r="17" spans="2:11" x14ac:dyDescent="0.3">
      <c r="B17" s="43">
        <f t="shared" si="0"/>
        <v>14</v>
      </c>
      <c r="C17" s="44">
        <f t="shared" si="1"/>
        <v>47205</v>
      </c>
      <c r="D17" s="43">
        <f t="shared" si="14"/>
        <v>460849.05921212118</v>
      </c>
      <c r="E17" s="45">
        <f t="shared" si="2"/>
        <v>3.8804347604165526E-2</v>
      </c>
      <c r="H17" s="43">
        <f t="shared" ref="H17" si="18">H16+1</f>
        <v>14</v>
      </c>
      <c r="I17" s="46">
        <f t="shared" si="4"/>
        <v>47205</v>
      </c>
      <c r="J17" s="43">
        <f t="shared" si="16"/>
        <v>58271.880303030302</v>
      </c>
      <c r="K17" s="45">
        <f t="shared" si="5"/>
        <v>5.1716299006845622E-2</v>
      </c>
    </row>
    <row r="18" spans="2:11" x14ac:dyDescent="0.3">
      <c r="B18" s="43">
        <f t="shared" si="0"/>
        <v>15</v>
      </c>
      <c r="C18" s="44">
        <f t="shared" si="1"/>
        <v>47570</v>
      </c>
      <c r="D18" s="43">
        <f t="shared" si="14"/>
        <v>478063.99206060608</v>
      </c>
      <c r="E18" s="45">
        <f t="shared" si="2"/>
        <v>3.7354818252023698E-2</v>
      </c>
      <c r="H18" s="43">
        <f t="shared" ref="H18" si="19">H17+1</f>
        <v>15</v>
      </c>
      <c r="I18" s="46">
        <f t="shared" si="4"/>
        <v>47570</v>
      </c>
      <c r="J18" s="43">
        <f t="shared" si="16"/>
        <v>61137.29751515152</v>
      </c>
      <c r="K18" s="45">
        <f t="shared" si="5"/>
        <v>4.9173240973523345E-2</v>
      </c>
    </row>
    <row r="19" spans="2:11" x14ac:dyDescent="0.3">
      <c r="C19" s="40"/>
    </row>
    <row r="20" spans="2:11" x14ac:dyDescent="0.3">
      <c r="C20" s="40"/>
    </row>
  </sheetData>
  <mergeCells count="2">
    <mergeCell ref="B2:E2"/>
    <mergeCell ref="H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D0EC-06CE-491F-AD4A-29CA65C8578F}">
  <dimension ref="B2:L41"/>
  <sheetViews>
    <sheetView showGridLines="0" workbookViewId="0">
      <selection activeCell="D31" sqref="D31"/>
    </sheetView>
  </sheetViews>
  <sheetFormatPr defaultRowHeight="14.4" x14ac:dyDescent="0.3"/>
  <cols>
    <col min="1" max="1" width="1.88671875" customWidth="1"/>
    <col min="2" max="2" width="22.109375" customWidth="1"/>
  </cols>
  <sheetData>
    <row r="2" spans="2:12" x14ac:dyDescent="0.3">
      <c r="B2" s="99" t="str">
        <f>"Common Size Statement"&amp;" "&amp;" - "&amp;'Data Sheet'!B1</f>
        <v>Common Size Statement  - TATA MOTORS LTD</v>
      </c>
      <c r="C2" s="99"/>
      <c r="D2" s="99"/>
      <c r="E2" s="99"/>
      <c r="F2" s="99"/>
      <c r="G2" s="99"/>
      <c r="H2" s="99"/>
      <c r="I2" s="99"/>
      <c r="J2" s="99"/>
      <c r="K2" s="99"/>
      <c r="L2" s="99"/>
    </row>
    <row r="4" spans="2:12" x14ac:dyDescent="0.3">
      <c r="B4" s="47" t="s">
        <v>161</v>
      </c>
      <c r="C4" s="48">
        <f>'Data Sheet'!B16</f>
        <v>42460</v>
      </c>
      <c r="D4" s="48">
        <f>'Data Sheet'!C16</f>
        <v>42825</v>
      </c>
      <c r="E4" s="48">
        <f>'Data Sheet'!D16</f>
        <v>43190</v>
      </c>
      <c r="F4" s="48">
        <f>'Data Sheet'!E16</f>
        <v>43555</v>
      </c>
      <c r="G4" s="48">
        <f>'Data Sheet'!F16</f>
        <v>43921</v>
      </c>
      <c r="H4" s="48">
        <f>'Data Sheet'!G16</f>
        <v>44286</v>
      </c>
      <c r="I4" s="48">
        <f>'Data Sheet'!H16</f>
        <v>44651</v>
      </c>
      <c r="J4" s="48">
        <f>'Data Sheet'!I16</f>
        <v>45016</v>
      </c>
      <c r="K4" s="48">
        <f>'Data Sheet'!J16</f>
        <v>45382</v>
      </c>
      <c r="L4" s="48">
        <f>'Data Sheet'!K16</f>
        <v>45747</v>
      </c>
    </row>
    <row r="5" spans="2:12" x14ac:dyDescent="0.3">
      <c r="B5" t="str">
        <f>'Data Sheet'!A17</f>
        <v>Sales</v>
      </c>
      <c r="C5" s="36">
        <f>'Data Sheet'!B17/'Data Sheet'!B$17</f>
        <v>1</v>
      </c>
      <c r="D5" s="36">
        <f>'Data Sheet'!C17/'Data Sheet'!C$17</f>
        <v>1</v>
      </c>
      <c r="E5" s="36">
        <f>'Data Sheet'!D17/'Data Sheet'!D$17</f>
        <v>1</v>
      </c>
      <c r="F5" s="36">
        <f>'Data Sheet'!E17/'Data Sheet'!E$17</f>
        <v>1</v>
      </c>
      <c r="G5" s="36">
        <f>'Data Sheet'!F17/'Data Sheet'!F$17</f>
        <v>1</v>
      </c>
      <c r="H5" s="36">
        <f>'Data Sheet'!G17/'Data Sheet'!G$17</f>
        <v>1</v>
      </c>
      <c r="I5" s="36">
        <f>'Data Sheet'!H17/'Data Sheet'!H$17</f>
        <v>1</v>
      </c>
      <c r="J5" s="36">
        <f>'Data Sheet'!I17/'Data Sheet'!I$17</f>
        <v>1</v>
      </c>
      <c r="K5" s="36">
        <f>'Data Sheet'!J17/'Data Sheet'!J$17</f>
        <v>1</v>
      </c>
      <c r="L5" s="36">
        <f>'Data Sheet'!K17/'Data Sheet'!K$17</f>
        <v>1</v>
      </c>
    </row>
    <row r="6" spans="2:12" x14ac:dyDescent="0.3">
      <c r="B6" t="str">
        <f>'Data Sheet'!A18</f>
        <v>Raw Material Cost</v>
      </c>
      <c r="C6" s="36">
        <f>'Data Sheet'!B18/'Data Sheet'!B$17</f>
        <v>0.60844785632875986</v>
      </c>
      <c r="D6" s="36">
        <f>'Data Sheet'!C18/'Data Sheet'!C$17</f>
        <v>0.64256170851760019</v>
      </c>
      <c r="E6" s="36">
        <f>'Data Sheet'!D18/'Data Sheet'!D$17</f>
        <v>0.6444735745247272</v>
      </c>
      <c r="F6" s="36">
        <f>'Data Sheet'!E18/'Data Sheet'!E$17</f>
        <v>0.64340246222408271</v>
      </c>
      <c r="G6" s="36">
        <f>'Data Sheet'!F18/'Data Sheet'!F$17</f>
        <v>0.63163558516963991</v>
      </c>
      <c r="H6" s="36">
        <f>'Data Sheet'!G18/'Data Sheet'!G$17</f>
        <v>0.6149343010611712</v>
      </c>
      <c r="I6" s="36">
        <f>'Data Sheet'!H18/'Data Sheet'!H$17</f>
        <v>0.64389656704768283</v>
      </c>
      <c r="J6" s="36">
        <f>'Data Sheet'!I18/'Data Sheet'!I$17</f>
        <v>0.66842005177546293</v>
      </c>
      <c r="K6" s="36">
        <f>'Data Sheet'!J18/'Data Sheet'!J$17</f>
        <v>0.63205273538302731</v>
      </c>
      <c r="L6" s="36">
        <f>'Data Sheet'!K18/'Data Sheet'!K$17</f>
        <v>0.61167400129635319</v>
      </c>
    </row>
    <row r="7" spans="2:12" x14ac:dyDescent="0.3">
      <c r="B7" t="str">
        <f>'Data Sheet'!A19</f>
        <v>Change in Inventory</v>
      </c>
      <c r="C7" s="36">
        <f>'Data Sheet'!B19/'Data Sheet'!B$17</f>
        <v>1.0075203555743071E-2</v>
      </c>
      <c r="D7" s="36">
        <f>'Data Sheet'!C19/'Data Sheet'!C$17</f>
        <v>2.7438359337454348E-2</v>
      </c>
      <c r="E7" s="36">
        <f>'Data Sheet'!D19/'Data Sheet'!D$17</f>
        <v>7.0196420187680708E-3</v>
      </c>
      <c r="F7" s="36">
        <f>'Data Sheet'!E19/'Data Sheet'!E$17</f>
        <v>-6.8003274840166073E-3</v>
      </c>
      <c r="G7" s="36">
        <f>'Data Sheet'!F19/'Data Sheet'!F$17</f>
        <v>-8.5463950250197294E-3</v>
      </c>
      <c r="H7" s="36">
        <f>'Data Sheet'!G19/'Data Sheet'!G$17</f>
        <v>-1.8752035421080705E-2</v>
      </c>
      <c r="I7" s="36">
        <f>'Data Sheet'!H19/'Data Sheet'!H$17</f>
        <v>-5.7118668451859233E-3</v>
      </c>
      <c r="J7" s="36">
        <f>'Data Sheet'!I19/'Data Sheet'!I$17</f>
        <v>1.3821030371772196E-2</v>
      </c>
      <c r="K7" s="36">
        <f>'Data Sheet'!J19/'Data Sheet'!J$17</f>
        <v>3.6081619110816189E-3</v>
      </c>
      <c r="L7" s="36">
        <f>'Data Sheet'!K19/'Data Sheet'!K$17</f>
        <v>-6.4499255165512458E-3</v>
      </c>
    </row>
    <row r="8" spans="2:12" x14ac:dyDescent="0.3">
      <c r="B8" t="str">
        <f>'Data Sheet'!A20</f>
        <v>Power and Fuel</v>
      </c>
      <c r="C8" s="36">
        <f>'Data Sheet'!B20/'Data Sheet'!B$17</f>
        <v>4.1884212746881849E-3</v>
      </c>
      <c r="D8" s="36">
        <f>'Data Sheet'!C20/'Data Sheet'!C$17</f>
        <v>4.3005272931013168E-3</v>
      </c>
      <c r="E8" s="36">
        <f>'Data Sheet'!D20/'Data Sheet'!D$17</f>
        <v>4.4866329837632236E-3</v>
      </c>
      <c r="F8" s="36">
        <f>'Data Sheet'!E20/'Data Sheet'!E$17</f>
        <v>5.252495210943689E-3</v>
      </c>
      <c r="G8" s="36">
        <f>'Data Sheet'!F20/'Data Sheet'!F$17</f>
        <v>4.8452899066859867E-3</v>
      </c>
      <c r="H8" s="36">
        <f>'Data Sheet'!G20/'Data Sheet'!G$17</f>
        <v>4.4551376680254488E-3</v>
      </c>
      <c r="I8" s="36">
        <f>'Data Sheet'!H20/'Data Sheet'!H$17</f>
        <v>7.8228108508698862E-3</v>
      </c>
      <c r="J8" s="36">
        <f>'Data Sheet'!I20/'Data Sheet'!I$17</f>
        <v>7.2646530389880865E-3</v>
      </c>
      <c r="K8" s="36">
        <f>'Data Sheet'!J20/'Data Sheet'!J$17</f>
        <v>5.0435928629359288E-3</v>
      </c>
      <c r="L8" s="36">
        <f>'Data Sheet'!K20/'Data Sheet'!K$17</f>
        <v>5.5561241315002447E-3</v>
      </c>
    </row>
    <row r="9" spans="2:12" x14ac:dyDescent="0.3">
      <c r="B9" t="str">
        <f>'Data Sheet'!A21</f>
        <v>Other Mfr. Exp</v>
      </c>
      <c r="C9" s="36">
        <f>'Data Sheet'!B21/'Data Sheet'!B$17</f>
        <v>4.4320545725695638E-2</v>
      </c>
      <c r="D9" s="36">
        <f>'Data Sheet'!C21/'Data Sheet'!C$17</f>
        <v>3.7329067833585743E-2</v>
      </c>
      <c r="E9" s="36">
        <f>'Data Sheet'!D21/'Data Sheet'!D$17</f>
        <v>3.7632110912662539E-2</v>
      </c>
      <c r="F9" s="36">
        <f>'Data Sheet'!E21/'Data Sheet'!E$17</f>
        <v>3.8731542592793759E-2</v>
      </c>
      <c r="G9" s="36">
        <f>'Data Sheet'!F21/'Data Sheet'!F$17</f>
        <v>4.4208831899217663E-2</v>
      </c>
      <c r="H9" s="36">
        <f>'Data Sheet'!G21/'Data Sheet'!G$17</f>
        <v>3.3119871414431248E-2</v>
      </c>
      <c r="I9" s="36">
        <f>'Data Sheet'!H21/'Data Sheet'!H$17</f>
        <v>3.3856194794666339E-2</v>
      </c>
      <c r="J9" s="36">
        <f>'Data Sheet'!I21/'Data Sheet'!I$17</f>
        <v>3.4008940217616732E-2</v>
      </c>
      <c r="K9" s="36">
        <f>'Data Sheet'!J21/'Data Sheet'!J$17</f>
        <v>4.019667477696675E-2</v>
      </c>
      <c r="L9" s="36">
        <f>'Data Sheet'!K21/'Data Sheet'!K$17</f>
        <v>4.2786476989731516E-2</v>
      </c>
    </row>
    <row r="10" spans="2:12" x14ac:dyDescent="0.3">
      <c r="B10" t="str">
        <f>'Data Sheet'!A22</f>
        <v>Employee Cost</v>
      </c>
      <c r="C10" s="36">
        <f>'Data Sheet'!B22/'Data Sheet'!B$17</f>
        <v>0.10577313825968997</v>
      </c>
      <c r="D10" s="36">
        <f>'Data Sheet'!C22/'Data Sheet'!C$17</f>
        <v>0.10505627316086753</v>
      </c>
      <c r="E10" s="36">
        <f>'Data Sheet'!D22/'Data Sheet'!D$17</f>
        <v>0.10392742279141506</v>
      </c>
      <c r="F10" s="36">
        <f>'Data Sheet'!E22/'Data Sheet'!E$17</f>
        <v>0.11010149752399827</v>
      </c>
      <c r="G10" s="36">
        <f>'Data Sheet'!F22/'Data Sheet'!F$17</f>
        <v>0.11659262528451882</v>
      </c>
      <c r="H10" s="36">
        <f>'Data Sheet'!G22/'Data Sheet'!G$17</f>
        <v>0.11068479221440802</v>
      </c>
      <c r="I10" s="36">
        <f>'Data Sheet'!H22/'Data Sheet'!H$17</f>
        <v>0.11064147774412127</v>
      </c>
      <c r="J10" s="36">
        <f>'Data Sheet'!I22/'Data Sheet'!I$17</f>
        <v>9.7277205393335675E-2</v>
      </c>
      <c r="K10" s="36">
        <f>'Data Sheet'!J22/'Data Sheet'!J$17</f>
        <v>9.674758534247585E-2</v>
      </c>
      <c r="L10" s="36">
        <f>'Data Sheet'!K22/'Data Sheet'!K$17</f>
        <v>0.10863666859982488</v>
      </c>
    </row>
    <row r="11" spans="2:12" x14ac:dyDescent="0.3">
      <c r="B11" t="str">
        <f>'Data Sheet'!A23</f>
        <v>Selling and admin</v>
      </c>
      <c r="C11" s="36">
        <f>'Data Sheet'!B23/'Data Sheet'!B$17</f>
        <v>8.0542956927341092E-2</v>
      </c>
      <c r="D11" s="36">
        <f>'Data Sheet'!C23/'Data Sheet'!C$17</f>
        <v>0.1113838126242364</v>
      </c>
      <c r="E11" s="36">
        <f>'Data Sheet'!D23/'Data Sheet'!D$17</f>
        <v>0.10634377964323709</v>
      </c>
      <c r="F11" s="36">
        <f>'Data Sheet'!E23/'Data Sheet'!E$17</f>
        <v>0.1083658123643763</v>
      </c>
      <c r="G11" s="36">
        <f>'Data Sheet'!F23/'Data Sheet'!F$17</f>
        <v>0.11203335284677013</v>
      </c>
      <c r="H11" s="36">
        <f>'Data Sheet'!G23/'Data Sheet'!G$17</f>
        <v>9.2138805959692913E-2</v>
      </c>
      <c r="I11" s="36">
        <f>'Data Sheet'!H23/'Data Sheet'!H$17</f>
        <v>0.10488425325553319</v>
      </c>
      <c r="J11" s="36">
        <f>'Data Sheet'!I23/'Data Sheet'!I$17</f>
        <v>0.10070091373173573</v>
      </c>
      <c r="K11" s="36">
        <f>'Data Sheet'!J23/'Data Sheet'!J$17</f>
        <v>9.853323379783234E-2</v>
      </c>
      <c r="L11" s="36">
        <f>'Data Sheet'!K23/'Data Sheet'!K$17</f>
        <v>0.10711743367561605</v>
      </c>
    </row>
    <row r="12" spans="2:12" x14ac:dyDescent="0.3">
      <c r="B12" t="str">
        <f>'Data Sheet'!A24</f>
        <v>Other Expenses</v>
      </c>
      <c r="C12" s="36">
        <f>'Data Sheet'!B24/'Data Sheet'!B$17</f>
        <v>2.6183831565130516E-2</v>
      </c>
      <c r="D12" s="36">
        <f>'Data Sheet'!C24/'Data Sheet'!C$17</f>
        <v>1.7094282670289951E-2</v>
      </c>
      <c r="E12" s="36">
        <f>'Data Sheet'!D24/'Data Sheet'!D$17</f>
        <v>2.2582367211331639E-3</v>
      </c>
      <c r="F12" s="36">
        <f>'Data Sheet'!E24/'Data Sheet'!E$17</f>
        <v>5.6592338039812094E-3</v>
      </c>
      <c r="G12" s="36">
        <f>'Data Sheet'!F24/'Data Sheet'!F$17</f>
        <v>1.3239885383105405E-2</v>
      </c>
      <c r="H12" s="36">
        <f>'Data Sheet'!G24/'Data Sheet'!G$17</f>
        <v>-3.3407827826645677E-3</v>
      </c>
      <c r="I12" s="36">
        <f>'Data Sheet'!H24/'Data Sheet'!H$17</f>
        <v>4.4105011096641517E-3</v>
      </c>
      <c r="J12" s="36">
        <f>'Data Sheet'!I24/'Data Sheet'!I$17</f>
        <v>1.4187308112100993E-2</v>
      </c>
      <c r="K12" s="36">
        <f>'Data Sheet'!J24/'Data Sheet'!J$17</f>
        <v>-2.1957715844577157E-3</v>
      </c>
      <c r="L12" s="36">
        <f>'Data Sheet'!K24/'Data Sheet'!K$17</f>
        <v>-7.7985876573533923E-3</v>
      </c>
    </row>
    <row r="13" spans="2:12" x14ac:dyDescent="0.3">
      <c r="B13" t="str">
        <f>'Data Sheet'!A25</f>
        <v>Other Income</v>
      </c>
      <c r="C13" s="36">
        <f>'Data Sheet'!B25/'Data Sheet'!B$17</f>
        <v>-9.7771947249836663E-3</v>
      </c>
      <c r="D13" s="36">
        <f>'Data Sheet'!C25/'Data Sheet'!C$17</f>
        <v>6.9304853887117582E-3</v>
      </c>
      <c r="E13" s="36">
        <f>'Data Sheet'!D25/'Data Sheet'!D$17</f>
        <v>2.034889464081829E-2</v>
      </c>
      <c r="F13" s="36">
        <f>'Data Sheet'!E25/'Data Sheet'!E$17</f>
        <v>-8.8383094035074702E-2</v>
      </c>
      <c r="G13" s="36">
        <f>'Data Sheet'!F25/'Data Sheet'!F$17</f>
        <v>3.8959202846676288E-4</v>
      </c>
      <c r="H13" s="36">
        <f>'Data Sheet'!G25/'Data Sheet'!G$17</f>
        <v>-4.4507860953843105E-2</v>
      </c>
      <c r="I13" s="36">
        <f>'Data Sheet'!H25/'Data Sheet'!H$17</f>
        <v>8.7053994844814731E-3</v>
      </c>
      <c r="J13" s="36">
        <f>'Data Sheet'!I25/'Data Sheet'!I$17</f>
        <v>1.9261867686386363E-2</v>
      </c>
      <c r="K13" s="36">
        <f>'Data Sheet'!J25/'Data Sheet'!J$17</f>
        <v>1.1041067610410677E-2</v>
      </c>
      <c r="L13" s="36">
        <f>'Data Sheet'!K25/'Data Sheet'!K$17</f>
        <v>2.6777652691069947E-2</v>
      </c>
    </row>
    <row r="14" spans="2:12" x14ac:dyDescent="0.3">
      <c r="B14" t="str">
        <f>'Data Sheet'!A26</f>
        <v>Depreciation</v>
      </c>
      <c r="C14" s="36">
        <f>'Data Sheet'!B26/'Data Sheet'!B$17</f>
        <v>6.1201425695927715E-2</v>
      </c>
      <c r="D14" s="36">
        <f>'Data Sheet'!C26/'Data Sheet'!C$17</f>
        <v>6.63903865924938E-2</v>
      </c>
      <c r="E14" s="36">
        <f>'Data Sheet'!D26/'Data Sheet'!D$17</f>
        <v>7.3927472182518786E-2</v>
      </c>
      <c r="F14" s="36">
        <f>'Data Sheet'!E26/'Data Sheet'!E$17</f>
        <v>7.8130605447998658E-2</v>
      </c>
      <c r="G14" s="36">
        <f>'Data Sheet'!F26/'Data Sheet'!F$17</f>
        <v>8.206839774331566E-2</v>
      </c>
      <c r="H14" s="36">
        <f>'Data Sheet'!G26/'Data Sheet'!G$17</f>
        <v>9.4264230933596482E-2</v>
      </c>
      <c r="I14" s="36">
        <f>'Data Sheet'!H26/'Data Sheet'!H$17</f>
        <v>8.9191478279219347E-2</v>
      </c>
      <c r="J14" s="36">
        <f>'Data Sheet'!I26/'Data Sheet'!I$17</f>
        <v>7.1857611147098821E-2</v>
      </c>
      <c r="K14" s="36">
        <f>'Data Sheet'!J26/'Data Sheet'!J$17</f>
        <v>6.2760359065103591E-2</v>
      </c>
      <c r="L14" s="36">
        <f>'Data Sheet'!K26/'Data Sheet'!K$17</f>
        <v>5.2891208678743216E-2</v>
      </c>
    </row>
    <row r="15" spans="2:12" x14ac:dyDescent="0.3">
      <c r="B15" t="str">
        <f>'Data Sheet'!A27</f>
        <v>Interest</v>
      </c>
      <c r="C15" s="36">
        <f>'Data Sheet'!B27/'Data Sheet'!B$17</f>
        <v>1.7905727101993223E-2</v>
      </c>
      <c r="D15" s="36">
        <f>'Data Sheet'!C27/'Data Sheet'!C$17</f>
        <v>1.5714229512714312E-2</v>
      </c>
      <c r="E15" s="36">
        <f>'Data Sheet'!D27/'Data Sheet'!D$17</f>
        <v>1.605824830060304E-2</v>
      </c>
      <c r="F15" s="36">
        <f>'Data Sheet'!E27/'Data Sheet'!E$17</f>
        <v>1.9072102124141878E-2</v>
      </c>
      <c r="G15" s="36">
        <f>'Data Sheet'!F27/'Data Sheet'!F$17</f>
        <v>2.7744996829752802E-2</v>
      </c>
      <c r="H15" s="36">
        <f>'Data Sheet'!G27/'Data Sheet'!G$17</f>
        <v>3.2415292955516477E-2</v>
      </c>
      <c r="I15" s="36">
        <f>'Data Sheet'!H27/'Data Sheet'!H$17</f>
        <v>3.3441332168710897E-2</v>
      </c>
      <c r="J15" s="36">
        <f>'Data Sheet'!I27/'Data Sheet'!I$17</f>
        <v>2.9556231914277829E-2</v>
      </c>
      <c r="K15" s="36">
        <f>'Data Sheet'!J27/'Data Sheet'!J$17</f>
        <v>1.7497050799970507E-2</v>
      </c>
      <c r="L15" s="36">
        <f>'Data Sheet'!K27/'Data Sheet'!K$17</f>
        <v>1.1560286107415368E-2</v>
      </c>
    </row>
    <row r="16" spans="2:12" x14ac:dyDescent="0.3">
      <c r="B16" t="str">
        <f>'Data Sheet'!A28</f>
        <v>Profit before tax</v>
      </c>
      <c r="C16" s="36">
        <f>'Data Sheet'!B28/'Data Sheet'!B$17</f>
        <v>5.1734105951533375E-2</v>
      </c>
      <c r="D16" s="36">
        <f>'Data Sheet'!C28/'Data Sheet'!C$17</f>
        <v>3.453855652127677E-2</v>
      </c>
      <c r="E16" s="36">
        <f>'Data Sheet'!D28/'Data Sheet'!D$17</f>
        <v>3.8261058599526235E-2</v>
      </c>
      <c r="F16" s="36">
        <f>'Data Sheet'!E28/'Data Sheet'!E$17</f>
        <v>-0.10389917281140788</v>
      </c>
      <c r="G16" s="36">
        <f>'Data Sheet'!F28/'Data Sheet'!F$17</f>
        <v>-4.0525768059559354E-2</v>
      </c>
      <c r="H16" s="36">
        <f>'Data Sheet'!G28/'Data Sheet'!G$17</f>
        <v>-4.1931545799101064E-2</v>
      </c>
      <c r="I16" s="36">
        <f>'Data Sheet'!H28/'Data Sheet'!H$17</f>
        <v>-2.5151082611172375E-2</v>
      </c>
      <c r="J16" s="36">
        <f>'Data Sheet'!I28/'Data Sheet'!I$17</f>
        <v>9.809982727541881E-3</v>
      </c>
      <c r="K16" s="36">
        <f>'Data Sheet'!J28/'Data Sheet'!J$17</f>
        <v>6.4013769077637686E-2</v>
      </c>
      <c r="L16" s="36">
        <f>'Data Sheet'!K28/'Data Sheet'!K$17</f>
        <v>8.7904115352687662E-2</v>
      </c>
    </row>
    <row r="17" spans="2:12" x14ac:dyDescent="0.3">
      <c r="B17" t="str">
        <f>'Data Sheet'!A29</f>
        <v>Tax</v>
      </c>
      <c r="C17" s="36">
        <f>'Data Sheet'!B29/'Data Sheet'!B$17</f>
        <v>1.1078918686109574E-2</v>
      </c>
      <c r="D17" s="36">
        <f>'Data Sheet'!C29/'Data Sheet'!C$17</f>
        <v>1.2055321818169885E-2</v>
      </c>
      <c r="E17" s="36">
        <f>'Data Sheet'!D29/'Data Sheet'!D$17</f>
        <v>1.4892549653836963E-2</v>
      </c>
      <c r="F17" s="36">
        <f>'Data Sheet'!E29/'Data Sheet'!E$17</f>
        <v>-8.0726731015332912E-3</v>
      </c>
      <c r="G17" s="36">
        <f>'Data Sheet'!F29/'Data Sheet'!F$17</f>
        <v>1.5139735448971392E-3</v>
      </c>
      <c r="H17" s="36">
        <f>'Data Sheet'!G29/'Data Sheet'!G$17</f>
        <v>1.0175794327142584E-2</v>
      </c>
      <c r="I17" s="36">
        <f>'Data Sheet'!H29/'Data Sheet'!H$17</f>
        <v>1.5195672442685429E-2</v>
      </c>
      <c r="J17" s="36">
        <f>'Data Sheet'!I29/'Data Sheet'!I$17</f>
        <v>2.0350497621203548E-3</v>
      </c>
      <c r="K17" s="36">
        <f>'Data Sheet'!J29/'Data Sheet'!J$17</f>
        <v>-9.2715475927154754E-3</v>
      </c>
      <c r="L17" s="36">
        <f>'Data Sheet'!K29/'Data Sheet'!K$17</f>
        <v>2.3884738284492661E-2</v>
      </c>
    </row>
    <row r="18" spans="2:12" x14ac:dyDescent="0.3">
      <c r="B18" t="str">
        <f>'Data Sheet'!A30</f>
        <v>Net profit</v>
      </c>
      <c r="C18" s="36">
        <f>'Data Sheet'!B30/'Data Sheet'!B$17</f>
        <v>4.2407971415763523E-2</v>
      </c>
      <c r="D18" s="36">
        <f>'Data Sheet'!C30/'Data Sheet'!C$17</f>
        <v>2.764021885516954E-2</v>
      </c>
      <c r="E18" s="36">
        <f>'Data Sheet'!D30/'Data Sheet'!D$17</f>
        <v>3.0831401821049997E-2</v>
      </c>
      <c r="F18" s="36">
        <f>'Data Sheet'!E30/'Data Sheet'!E$17</f>
        <v>-9.5470566181711222E-2</v>
      </c>
      <c r="G18" s="36">
        <f>'Data Sheet'!F30/'Data Sheet'!F$17</f>
        <v>-4.6236426475450051E-2</v>
      </c>
      <c r="H18" s="36">
        <f>'Data Sheet'!G30/'Data Sheet'!G$17</f>
        <v>-5.3849770661713266E-2</v>
      </c>
      <c r="I18" s="36">
        <f>'Data Sheet'!H30/'Data Sheet'!H$17</f>
        <v>-4.1089320368684734E-2</v>
      </c>
      <c r="J18" s="36">
        <f>'Data Sheet'!I30/'Data Sheet'!I$17</f>
        <v>6.9783829363826268E-3</v>
      </c>
      <c r="K18" s="36">
        <f>'Data Sheet'!J30/'Data Sheet'!J$17</f>
        <v>7.2345259160952594E-2</v>
      </c>
      <c r="L18" s="36">
        <f>'Data Sheet'!K30/'Data Sheet'!K$17</f>
        <v>6.3293874162771921E-2</v>
      </c>
    </row>
    <row r="19" spans="2:12" x14ac:dyDescent="0.3">
      <c r="B19" t="str">
        <f>'Data Sheet'!A31</f>
        <v>Dividend Amount</v>
      </c>
      <c r="C19" s="36">
        <f>'Data Sheet'!B31/'Data Sheet'!B$17</f>
        <v>2.487496593975512E-4</v>
      </c>
      <c r="D19" s="36">
        <f>'Data Sheet'!C31/'Data Sheet'!C$17</f>
        <v>0</v>
      </c>
      <c r="E19" s="36">
        <f>'Data Sheet'!D31/'Data Sheet'!D$17</f>
        <v>0</v>
      </c>
      <c r="F19" s="36">
        <f>'Data Sheet'!E31/'Data Sheet'!E$17</f>
        <v>0</v>
      </c>
      <c r="G19" s="36">
        <f>'Data Sheet'!F31/'Data Sheet'!F$17</f>
        <v>0</v>
      </c>
      <c r="H19" s="36">
        <f>'Data Sheet'!G31/'Data Sheet'!G$17</f>
        <v>0</v>
      </c>
      <c r="I19" s="36">
        <f>'Data Sheet'!H31/'Data Sheet'!H$17</f>
        <v>0</v>
      </c>
      <c r="J19" s="36">
        <f>'Data Sheet'!I31/'Data Sheet'!I$17</f>
        <v>2.2141420032091505E-3</v>
      </c>
      <c r="K19" s="36">
        <f>'Data Sheet'!J31/'Data Sheet'!J$17</f>
        <v>5.3016478655164784E-3</v>
      </c>
      <c r="L19" s="36">
        <f>'Data Sheet'!K31/'Data Sheet'!K$17</f>
        <v>5.0216627434926482E-3</v>
      </c>
    </row>
    <row r="20" spans="2:12" x14ac:dyDescent="0.3">
      <c r="B20" t="s">
        <v>64</v>
      </c>
      <c r="C20" s="4">
        <f>C18+C15+C14+C17</f>
        <v>0.13259404289979404</v>
      </c>
      <c r="D20" s="4">
        <f t="shared" ref="D20:L20" si="0">D18+D15+D14+D17</f>
        <v>0.12180015677854754</v>
      </c>
      <c r="E20" s="4">
        <f t="shared" si="0"/>
        <v>0.13570967195800879</v>
      </c>
      <c r="F20" s="4">
        <f t="shared" si="0"/>
        <v>-6.3405317111039708E-3</v>
      </c>
      <c r="G20" s="4">
        <f t="shared" si="0"/>
        <v>6.5090941642515554E-2</v>
      </c>
      <c r="H20" s="4">
        <f t="shared" si="0"/>
        <v>8.3005547554542272E-2</v>
      </c>
      <c r="I20" s="4">
        <f t="shared" si="0"/>
        <v>9.6739162521930933E-2</v>
      </c>
      <c r="J20" s="4">
        <f t="shared" si="0"/>
        <v>0.11042727575987962</v>
      </c>
      <c r="K20" s="4">
        <f t="shared" si="0"/>
        <v>0.14333112143331123</v>
      </c>
      <c r="L20" s="4">
        <f t="shared" si="0"/>
        <v>0.15163010723342318</v>
      </c>
    </row>
    <row r="22" spans="2:12" x14ac:dyDescent="0.3">
      <c r="B22" s="99" t="str">
        <f>"Common Size Balance Sheet "&amp;" - "&amp;'Data Sheet'!B1</f>
        <v>Common Size Balance Sheet  - TATA MOTORS LTD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</row>
    <row r="24" spans="2:12" x14ac:dyDescent="0.3">
      <c r="B24" s="47" t="s">
        <v>161</v>
      </c>
      <c r="C24" s="48">
        <f>'Data Sheet'!B16</f>
        <v>42460</v>
      </c>
      <c r="D24" s="48">
        <f>'Data Sheet'!C16</f>
        <v>42825</v>
      </c>
      <c r="E24" s="48">
        <f>'Data Sheet'!D16</f>
        <v>43190</v>
      </c>
      <c r="F24" s="48">
        <f>'Data Sheet'!E16</f>
        <v>43555</v>
      </c>
      <c r="G24" s="48">
        <f>'Data Sheet'!F16</f>
        <v>43921</v>
      </c>
      <c r="H24" s="48">
        <f>'Data Sheet'!G16</f>
        <v>44286</v>
      </c>
      <c r="I24" s="48">
        <f>'Data Sheet'!H16</f>
        <v>44651</v>
      </c>
      <c r="J24" s="48">
        <f>'Data Sheet'!I16</f>
        <v>45016</v>
      </c>
      <c r="K24" s="48">
        <f>'Data Sheet'!J16</f>
        <v>45382</v>
      </c>
      <c r="L24" s="48">
        <f>'Data Sheet'!K16</f>
        <v>45747</v>
      </c>
    </row>
    <row r="26" spans="2:12" x14ac:dyDescent="0.3">
      <c r="B26" s="2" t="s">
        <v>162</v>
      </c>
      <c r="C26" s="49">
        <f>'Data Sheet'!B61/'Data Sheet'!B$61</f>
        <v>1</v>
      </c>
      <c r="D26" s="49">
        <f>'Data Sheet'!C61/'Data Sheet'!C$61</f>
        <v>1</v>
      </c>
      <c r="E26" s="49">
        <f>'Data Sheet'!D61/'Data Sheet'!D$61</f>
        <v>1</v>
      </c>
      <c r="F26" s="49">
        <f>'Data Sheet'!E61/'Data Sheet'!E$61</f>
        <v>1</v>
      </c>
      <c r="G26" s="49">
        <f>'Data Sheet'!F61/'Data Sheet'!F$61</f>
        <v>1</v>
      </c>
      <c r="H26" s="49">
        <f>'Data Sheet'!G61/'Data Sheet'!G$61</f>
        <v>1</v>
      </c>
      <c r="I26" s="49">
        <f>'Data Sheet'!H61/'Data Sheet'!H$61</f>
        <v>1</v>
      </c>
      <c r="J26" s="49">
        <f>'Data Sheet'!I61/'Data Sheet'!I$61</f>
        <v>1</v>
      </c>
      <c r="K26" s="49">
        <f>'Data Sheet'!J61/'Data Sheet'!J$61</f>
        <v>1</v>
      </c>
      <c r="L26" s="49">
        <f>'Data Sheet'!K61/'Data Sheet'!K$61</f>
        <v>1</v>
      </c>
    </row>
    <row r="27" spans="2:12" x14ac:dyDescent="0.3">
      <c r="B27" t="str">
        <f>'Data Sheet'!A57</f>
        <v>Equity Share Capital</v>
      </c>
      <c r="C27" s="50">
        <f>'Data Sheet'!B62/'Data Sheet'!B$61</f>
        <v>0.40744008415097382</v>
      </c>
      <c r="D27" s="50">
        <f>'Data Sheet'!C62/'Data Sheet'!C$61</f>
        <v>0.35198456704657666</v>
      </c>
      <c r="E27" s="50">
        <f>'Data Sheet'!D62/'Data Sheet'!D$61</f>
        <v>0.37107854258332446</v>
      </c>
      <c r="F27" s="50">
        <f>'Data Sheet'!E62/'Data Sheet'!E$61</f>
        <v>0.36386391925064382</v>
      </c>
      <c r="G27" s="50">
        <f>'Data Sheet'!F62/'Data Sheet'!F$61</f>
        <v>0.39698726392101624</v>
      </c>
      <c r="H27" s="50">
        <f>'Data Sheet'!G62/'Data Sheet'!G$61</f>
        <v>0.40608849298230043</v>
      </c>
      <c r="I27" s="50">
        <f>'Data Sheet'!H62/'Data Sheet'!H$61</f>
        <v>0.42197417266906562</v>
      </c>
      <c r="J27" s="50">
        <f>'Data Sheet'!I62/'Data Sheet'!I$61</f>
        <v>0.39465148263642374</v>
      </c>
      <c r="K27" s="50">
        <f>'Data Sheet'!J62/'Data Sheet'!J$61</f>
        <v>0.32822221199877677</v>
      </c>
      <c r="L27" s="50">
        <f>'Data Sheet'!K62/'Data Sheet'!K$61</f>
        <v>0.3069105744973778</v>
      </c>
    </row>
    <row r="28" spans="2:12" x14ac:dyDescent="0.3">
      <c r="B28" t="str">
        <f>'Data Sheet'!A58</f>
        <v>Reserves</v>
      </c>
      <c r="C28" s="50">
        <f>'Data Sheet'!B63/'Data Sheet'!B$61</f>
        <v>9.8482157662096018E-2</v>
      </c>
      <c r="D28" s="50">
        <f>'Data Sheet'!C63/'Data Sheet'!C$61</f>
        <v>0.12362900980833688</v>
      </c>
      <c r="E28" s="50">
        <f>'Data Sheet'!D63/'Data Sheet'!D$61</f>
        <v>0.12235483522646853</v>
      </c>
      <c r="F28" s="50">
        <f>'Data Sheet'!E63/'Data Sheet'!E$61</f>
        <v>0.1042966176146697</v>
      </c>
      <c r="G28" s="50">
        <f>'Data Sheet'!F63/'Data Sheet'!F$61</f>
        <v>0.11125728611076434</v>
      </c>
      <c r="H28" s="50">
        <f>'Data Sheet'!G63/'Data Sheet'!G$61</f>
        <v>6.137522476731045E-2</v>
      </c>
      <c r="I28" s="50">
        <f>'Data Sheet'!H63/'Data Sheet'!H$61</f>
        <v>3.1152505873598278E-2</v>
      </c>
      <c r="J28" s="50">
        <f>'Data Sheet'!I63/'Data Sheet'!I$61</f>
        <v>4.2651899041106903E-2</v>
      </c>
      <c r="K28" s="50">
        <f>'Data Sheet'!J63/'Data Sheet'!J$61</f>
        <v>9.6606146876632187E-2</v>
      </c>
      <c r="L28" s="50">
        <f>'Data Sheet'!K63/'Data Sheet'!K$61</f>
        <v>0.17456422608515729</v>
      </c>
    </row>
    <row r="29" spans="2:12" x14ac:dyDescent="0.3">
      <c r="B29" t="str">
        <f>'Data Sheet'!A59</f>
        <v>Borrowings</v>
      </c>
      <c r="C29" s="50">
        <f>'Data Sheet'!B64/'Data Sheet'!B$61</f>
        <v>9.0305676497502971E-2</v>
      </c>
      <c r="D29" s="50">
        <f>'Data Sheet'!C64/'Data Sheet'!C$61</f>
        <v>7.4612565630187005E-2</v>
      </c>
      <c r="E29" s="50">
        <f>'Data Sheet'!D64/'Data Sheet'!D$61</f>
        <v>6.3610241344366172E-2</v>
      </c>
      <c r="F29" s="50">
        <f>'Data Sheet'!E64/'Data Sheet'!E$61</f>
        <v>5.1588289031309388E-2</v>
      </c>
      <c r="G29" s="50">
        <f>'Data Sheet'!F64/'Data Sheet'!F$61</f>
        <v>5.0935445907370862E-2</v>
      </c>
      <c r="H29" s="50">
        <f>'Data Sheet'!G64/'Data Sheet'!G$61</f>
        <v>7.207976838475029E-2</v>
      </c>
      <c r="I29" s="50">
        <f>'Data Sheet'!H64/'Data Sheet'!H$61</f>
        <v>8.928279635517361E-2</v>
      </c>
      <c r="J29" s="50">
        <f>'Data Sheet'!I64/'Data Sheet'!I$61</f>
        <v>7.8820362822460022E-2</v>
      </c>
      <c r="K29" s="50">
        <f>'Data Sheet'!J64/'Data Sheet'!J$61</f>
        <v>6.2164261300440303E-2</v>
      </c>
      <c r="L29" s="50">
        <f>'Data Sheet'!K64/'Data Sheet'!K$61</f>
        <v>9.4585023330583357E-2</v>
      </c>
    </row>
    <row r="30" spans="2:12" x14ac:dyDescent="0.3">
      <c r="B30" t="str">
        <f>'Data Sheet'!A60</f>
        <v>Other Liabilities</v>
      </c>
      <c r="C30" s="50">
        <f>'Data Sheet'!B65/'Data Sheet'!B$61</f>
        <v>0.40377208168942713</v>
      </c>
      <c r="D30" s="50">
        <f>'Data Sheet'!C65/'Data Sheet'!C$61</f>
        <v>0.44977385751489951</v>
      </c>
      <c r="E30" s="50">
        <f>'Data Sheet'!D65/'Data Sheet'!D$61</f>
        <v>0.44295638084584088</v>
      </c>
      <c r="F30" s="50">
        <f>'Data Sheet'!E65/'Data Sheet'!E$61</f>
        <v>0.48025117410337709</v>
      </c>
      <c r="G30" s="50">
        <f>'Data Sheet'!F65/'Data Sheet'!F$61</f>
        <v>0.44082000406084854</v>
      </c>
      <c r="H30" s="50">
        <f>'Data Sheet'!G65/'Data Sheet'!G$61</f>
        <v>0.46045651386563885</v>
      </c>
      <c r="I30" s="50">
        <f>'Data Sheet'!H65/'Data Sheet'!H$61</f>
        <v>0.45759052510216258</v>
      </c>
      <c r="J30" s="50">
        <f>'Data Sheet'!I65/'Data Sheet'!I$61</f>
        <v>0.4838762555000094</v>
      </c>
      <c r="K30" s="50">
        <f>'Data Sheet'!J65/'Data Sheet'!J$61</f>
        <v>0.51300737982415068</v>
      </c>
      <c r="L30" s="50">
        <f>'Data Sheet'!K65/'Data Sheet'!K$61</f>
        <v>0.42394017608688156</v>
      </c>
    </row>
    <row r="32" spans="2:12" x14ac:dyDescent="0.3">
      <c r="B32" s="2" t="s">
        <v>79</v>
      </c>
      <c r="C32" s="49">
        <f>'Data Sheet'!B66/'Data Sheet'!B$66</f>
        <v>1</v>
      </c>
      <c r="D32" s="49">
        <f>'Data Sheet'!C66/'Data Sheet'!C$66</f>
        <v>1</v>
      </c>
      <c r="E32" s="49">
        <f>'Data Sheet'!D66/'Data Sheet'!D$66</f>
        <v>1</v>
      </c>
      <c r="F32" s="49">
        <f>'Data Sheet'!E66/'Data Sheet'!E$66</f>
        <v>1</v>
      </c>
      <c r="G32" s="49">
        <f>'Data Sheet'!F66/'Data Sheet'!F$66</f>
        <v>1</v>
      </c>
      <c r="H32" s="49">
        <f>'Data Sheet'!G66/'Data Sheet'!G$66</f>
        <v>1</v>
      </c>
      <c r="I32" s="49">
        <f>'Data Sheet'!H66/'Data Sheet'!H$66</f>
        <v>1</v>
      </c>
      <c r="J32" s="49">
        <f>'Data Sheet'!I66/'Data Sheet'!I$66</f>
        <v>1</v>
      </c>
      <c r="K32" s="49">
        <f>'Data Sheet'!J66/'Data Sheet'!J$66</f>
        <v>1</v>
      </c>
      <c r="L32" s="49">
        <f>'Data Sheet'!K66/'Data Sheet'!K$66</f>
        <v>1</v>
      </c>
    </row>
    <row r="33" spans="2:12" x14ac:dyDescent="0.3">
      <c r="B33" s="5" t="s">
        <v>14</v>
      </c>
      <c r="C33" s="36">
        <f>'Data Sheet'!B62/'Data Sheet'!B$66</f>
        <v>0.40744008415097382</v>
      </c>
      <c r="D33" s="36">
        <f>'Data Sheet'!C62/'Data Sheet'!C$66</f>
        <v>0.35198456704657666</v>
      </c>
      <c r="E33" s="36">
        <f>'Data Sheet'!D62/'Data Sheet'!D$66</f>
        <v>0.37107854258332446</v>
      </c>
      <c r="F33" s="36">
        <f>'Data Sheet'!E62/'Data Sheet'!E$66</f>
        <v>0.36386391925064382</v>
      </c>
      <c r="G33" s="36">
        <f>'Data Sheet'!F62/'Data Sheet'!F$66</f>
        <v>0.39698726392101624</v>
      </c>
      <c r="H33" s="36">
        <f>'Data Sheet'!G62/'Data Sheet'!G$66</f>
        <v>0.40608849298230043</v>
      </c>
      <c r="I33" s="36">
        <f>'Data Sheet'!H62/'Data Sheet'!H$66</f>
        <v>0.42197417266906562</v>
      </c>
      <c r="J33" s="36">
        <f>'Data Sheet'!I62/'Data Sheet'!I$66</f>
        <v>0.39465148263642374</v>
      </c>
      <c r="K33" s="36">
        <f>'Data Sheet'!J62/'Data Sheet'!J$66</f>
        <v>0.32822221199877677</v>
      </c>
      <c r="L33" s="36">
        <f>'Data Sheet'!K62/'Data Sheet'!K$66</f>
        <v>0.3069105744973778</v>
      </c>
    </row>
    <row r="34" spans="2:12" x14ac:dyDescent="0.3">
      <c r="B34" s="5" t="s">
        <v>15</v>
      </c>
      <c r="C34" s="36">
        <f>'Data Sheet'!B63/'Data Sheet'!B$66</f>
        <v>9.8482157662096018E-2</v>
      </c>
      <c r="D34" s="36">
        <f>'Data Sheet'!C63/'Data Sheet'!C$66</f>
        <v>0.12362900980833688</v>
      </c>
      <c r="E34" s="36">
        <f>'Data Sheet'!D63/'Data Sheet'!D$66</f>
        <v>0.12235483522646853</v>
      </c>
      <c r="F34" s="36">
        <f>'Data Sheet'!E63/'Data Sheet'!E$66</f>
        <v>0.1042966176146697</v>
      </c>
      <c r="G34" s="36">
        <f>'Data Sheet'!F63/'Data Sheet'!F$66</f>
        <v>0.11125728611076434</v>
      </c>
      <c r="H34" s="36">
        <f>'Data Sheet'!G63/'Data Sheet'!G$66</f>
        <v>6.137522476731045E-2</v>
      </c>
      <c r="I34" s="36">
        <f>'Data Sheet'!H63/'Data Sheet'!H$66</f>
        <v>3.1152505873598278E-2</v>
      </c>
      <c r="J34" s="36">
        <f>'Data Sheet'!I63/'Data Sheet'!I$66</f>
        <v>4.2651899041106903E-2</v>
      </c>
      <c r="K34" s="36">
        <f>'Data Sheet'!J63/'Data Sheet'!J$66</f>
        <v>9.6606146876632187E-2</v>
      </c>
      <c r="L34" s="36">
        <f>'Data Sheet'!K63/'Data Sheet'!K$66</f>
        <v>0.17456422608515729</v>
      </c>
    </row>
    <row r="35" spans="2:12" x14ac:dyDescent="0.3">
      <c r="B35" s="5" t="s">
        <v>16</v>
      </c>
      <c r="C35" s="36">
        <f>'Data Sheet'!B64/'Data Sheet'!B$66</f>
        <v>9.0305676497502971E-2</v>
      </c>
      <c r="D35" s="36">
        <f>'Data Sheet'!C64/'Data Sheet'!C$66</f>
        <v>7.4612565630187005E-2</v>
      </c>
      <c r="E35" s="36">
        <f>'Data Sheet'!D64/'Data Sheet'!D$66</f>
        <v>6.3610241344366172E-2</v>
      </c>
      <c r="F35" s="36">
        <f>'Data Sheet'!E64/'Data Sheet'!E$66</f>
        <v>5.1588289031309388E-2</v>
      </c>
      <c r="G35" s="36">
        <f>'Data Sheet'!F64/'Data Sheet'!F$66</f>
        <v>5.0935445907370862E-2</v>
      </c>
      <c r="H35" s="36">
        <f>'Data Sheet'!G64/'Data Sheet'!G$66</f>
        <v>7.207976838475029E-2</v>
      </c>
      <c r="I35" s="36">
        <f>'Data Sheet'!H64/'Data Sheet'!H$66</f>
        <v>8.928279635517361E-2</v>
      </c>
      <c r="J35" s="36">
        <f>'Data Sheet'!I64/'Data Sheet'!I$66</f>
        <v>7.8820362822460022E-2</v>
      </c>
      <c r="K35" s="36">
        <f>'Data Sheet'!J64/'Data Sheet'!J$66</f>
        <v>6.2164261300440303E-2</v>
      </c>
      <c r="L35" s="36">
        <f>'Data Sheet'!K64/'Data Sheet'!K$66</f>
        <v>9.4585023330583357E-2</v>
      </c>
    </row>
    <row r="36" spans="2:12" x14ac:dyDescent="0.3">
      <c r="B36" s="5" t="s">
        <v>43</v>
      </c>
      <c r="C36" s="36">
        <f>'Data Sheet'!B67/'Data Sheet'!B$66</f>
        <v>5.1564319306195219E-2</v>
      </c>
      <c r="D36" s="36">
        <f>'Data Sheet'!C67/'Data Sheet'!C$66</f>
        <v>5.1638166447501938E-2</v>
      </c>
      <c r="E36" s="36">
        <f>'Data Sheet'!D67/'Data Sheet'!D$66</f>
        <v>6.0800115993123419E-2</v>
      </c>
      <c r="F36" s="36">
        <f>'Data Sheet'!E67/'Data Sheet'!E$66</f>
        <v>6.2139198999658127E-2</v>
      </c>
      <c r="G36" s="36">
        <f>'Data Sheet'!F67/'Data Sheet'!F$66</f>
        <v>3.4895094278241959E-2</v>
      </c>
      <c r="H36" s="36">
        <f>'Data Sheet'!G67/'Data Sheet'!G$66</f>
        <v>3.7120014464974392E-2</v>
      </c>
      <c r="I36" s="36">
        <f>'Data Sheet'!H67/'Data Sheet'!H$66</f>
        <v>3.7810927070195913E-2</v>
      </c>
      <c r="J36" s="36">
        <f>'Data Sheet'!I67/'Data Sheet'!I$66</f>
        <v>4.7024715930643397E-2</v>
      </c>
      <c r="K36" s="36">
        <f>'Data Sheet'!J67/'Data Sheet'!J$66</f>
        <v>4.5875606528451698E-2</v>
      </c>
      <c r="L36" s="36">
        <f>'Data Sheet'!K67/'Data Sheet'!K$66</f>
        <v>3.5143100434248606E-2</v>
      </c>
    </row>
    <row r="37" spans="2:12" x14ac:dyDescent="0.3">
      <c r="B37" s="5" t="s">
        <v>30</v>
      </c>
      <c r="C37" s="36">
        <f>'Data Sheet'!B68/'Data Sheet'!B$66</f>
        <v>0.12407940874244236</v>
      </c>
      <c r="D37" s="36">
        <f>'Data Sheet'!C68/'Data Sheet'!C$66</f>
        <v>0.12871547311772571</v>
      </c>
      <c r="E37" s="36">
        <f>'Data Sheet'!D68/'Data Sheet'!D$66</f>
        <v>0.12878571135383859</v>
      </c>
      <c r="F37" s="36">
        <f>'Data Sheet'!E68/'Data Sheet'!E$66</f>
        <v>0.12761951131143451</v>
      </c>
      <c r="G37" s="36">
        <f>'Data Sheet'!F68/'Data Sheet'!F$66</f>
        <v>0.11698716772494318</v>
      </c>
      <c r="H37" s="36">
        <f>'Data Sheet'!G68/'Data Sheet'!G$66</f>
        <v>0.1056550619461767</v>
      </c>
      <c r="I37" s="36">
        <f>'Data Sheet'!H68/'Data Sheet'!H$66</f>
        <v>0.1070934797019244</v>
      </c>
      <c r="J37" s="36">
        <f>'Data Sheet'!I68/'Data Sheet'!I$66</f>
        <v>0.12177622891596469</v>
      </c>
      <c r="K37" s="36">
        <f>'Data Sheet'!J68/'Data Sheet'!J$66</f>
        <v>0.12932417914002181</v>
      </c>
      <c r="L37" s="36">
        <f>'Data Sheet'!K68/'Data Sheet'!K$66</f>
        <v>0.12539094311794213</v>
      </c>
    </row>
    <row r="38" spans="2:12" x14ac:dyDescent="0.3">
      <c r="B38" s="3" t="s">
        <v>52</v>
      </c>
      <c r="C38" s="36">
        <f>'Data Sheet'!B69/'Data Sheet'!B$66</f>
        <v>0.11573798601526566</v>
      </c>
      <c r="D38" s="36">
        <f>'Data Sheet'!C69/'Data Sheet'!C$66</f>
        <v>0.13235685799226327</v>
      </c>
      <c r="E38" s="36">
        <f>'Data Sheet'!D69/'Data Sheet'!D$66</f>
        <v>0.10579088150158772</v>
      </c>
      <c r="F38" s="36">
        <f>'Data Sheet'!E69/'Data Sheet'!E$66</f>
        <v>0.10679897700873484</v>
      </c>
      <c r="G38" s="36">
        <f>'Data Sheet'!F69/'Data Sheet'!F$66</f>
        <v>0.10533772957715985</v>
      </c>
      <c r="H38" s="36">
        <f>'Data Sheet'!G69/'Data Sheet'!G$66</f>
        <v>0.13699233635656022</v>
      </c>
      <c r="I38" s="36">
        <f>'Data Sheet'!H69/'Data Sheet'!H$66</f>
        <v>0.12359146006419652</v>
      </c>
      <c r="J38" s="36">
        <f>'Data Sheet'!I69/'Data Sheet'!I$66</f>
        <v>0.11060169729728082</v>
      </c>
      <c r="K38" s="36">
        <f>'Data Sheet'!J69/'Data Sheet'!J$66</f>
        <v>0.1239631847716368</v>
      </c>
      <c r="L38" s="36">
        <f>'Data Sheet'!K69/'Data Sheet'!K$66</f>
        <v>0.10832075506733904</v>
      </c>
    </row>
    <row r="39" spans="2:12" x14ac:dyDescent="0.3">
      <c r="B39" s="5" t="s">
        <v>163</v>
      </c>
      <c r="C39" s="36">
        <f>'Data Sheet'!B74/'Data Sheet'!B$66</f>
        <v>0.11239036762552386</v>
      </c>
      <c r="D39" s="36">
        <f>'Data Sheet'!C74/'Data Sheet'!C$66</f>
        <v>0.13706335995740859</v>
      </c>
      <c r="E39" s="36">
        <f>'Data Sheet'!D74/'Data Sheet'!D$66</f>
        <v>0.14757967199729119</v>
      </c>
      <c r="F39" s="36">
        <f>'Data Sheet'!E74/'Data Sheet'!E$66</f>
        <v>0.1836934867835496</v>
      </c>
      <c r="G39" s="36">
        <f>'Data Sheet'!F74/'Data Sheet'!F$66</f>
        <v>0.1836000124805035</v>
      </c>
      <c r="H39" s="36">
        <f>'Data Sheet'!G74/'Data Sheet'!G$66</f>
        <v>0.18068910109792749</v>
      </c>
      <c r="I39" s="36">
        <f>'Data Sheet'!H74/'Data Sheet'!H$66</f>
        <v>0.18909465826584576</v>
      </c>
      <c r="J39" s="36">
        <f>'Data Sheet'!I74/'Data Sheet'!I$66</f>
        <v>0.20447361335612049</v>
      </c>
      <c r="K39" s="36">
        <f>'Data Sheet'!J74/'Data Sheet'!J$66</f>
        <v>0.21384440938404042</v>
      </c>
      <c r="L39" s="36">
        <f>'Data Sheet'!K74/'Data Sheet'!K$66</f>
        <v>0.15508537746735176</v>
      </c>
    </row>
    <row r="40" spans="2:12" x14ac:dyDescent="0.3">
      <c r="C40" s="4"/>
    </row>
    <row r="41" spans="2:12" x14ac:dyDescent="0.3">
      <c r="C41" s="4"/>
    </row>
  </sheetData>
  <mergeCells count="2">
    <mergeCell ref="B2:L2"/>
    <mergeCell ref="B22:L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F8C1-8764-4E79-9A26-332E24C844D5}">
  <dimension ref="A2:I62"/>
  <sheetViews>
    <sheetView showGridLines="0" topLeftCell="A22" workbookViewId="0">
      <selection activeCell="M48" sqref="M48"/>
    </sheetView>
  </sheetViews>
  <sheetFormatPr defaultRowHeight="14.4" x14ac:dyDescent="0.3"/>
  <cols>
    <col min="1" max="1" width="1.88671875" customWidth="1"/>
    <col min="4" max="4" width="12.33203125" customWidth="1"/>
    <col min="6" max="6" width="8.5546875" customWidth="1"/>
  </cols>
  <sheetData>
    <row r="2" spans="2:9" x14ac:dyDescent="0.3">
      <c r="B2" s="61" t="s">
        <v>194</v>
      </c>
      <c r="C2" s="61"/>
      <c r="D2" s="61"/>
      <c r="E2" s="62">
        <f>'[1]Data Room&gt;'!I1</f>
        <v>44256</v>
      </c>
      <c r="F2" s="62">
        <f>'[1]Data Room&gt;'!J1</f>
        <v>44621</v>
      </c>
      <c r="G2" s="62">
        <f>'[1]Data Room&gt;'!K1</f>
        <v>44986</v>
      </c>
      <c r="H2" s="62">
        <f>'[1]Data Room&gt;'!L1</f>
        <v>45352</v>
      </c>
      <c r="I2" s="62">
        <f>'[1]Data Room&gt;'!M1</f>
        <v>45717</v>
      </c>
    </row>
    <row r="4" spans="2:9" x14ac:dyDescent="0.3">
      <c r="B4" s="2" t="s">
        <v>195</v>
      </c>
    </row>
    <row r="5" spans="2:9" x14ac:dyDescent="0.3">
      <c r="B5" s="63" t="str">
        <f>'[1]Data Room&gt;'!A32</f>
        <v>Inventories</v>
      </c>
      <c r="C5" s="63"/>
      <c r="D5" s="63"/>
      <c r="E5" s="71">
        <f>'[1]Data Room&gt;'!I32</f>
        <v>3799</v>
      </c>
      <c r="F5" s="71">
        <f>'[1]Data Room&gt;'!J32</f>
        <v>6153</v>
      </c>
      <c r="G5" s="71">
        <f>'[1]Data Room&gt;'!K32</f>
        <v>6211</v>
      </c>
      <c r="H5" s="71">
        <f>'[1]Data Room&gt;'!L32</f>
        <v>5923</v>
      </c>
      <c r="I5" s="71">
        <f>'[1]Data Room&gt;'!M32</f>
        <v>6719</v>
      </c>
    </row>
    <row r="6" spans="2:9" x14ac:dyDescent="0.3">
      <c r="B6" s="63" t="str">
        <f>'[1]Data Room&gt;'!A33</f>
        <v>Trade receivables -</v>
      </c>
      <c r="C6" s="63"/>
      <c r="D6" s="63"/>
      <c r="E6" s="71">
        <f>'[1]Data Room&gt;'!I33</f>
        <v>2602</v>
      </c>
      <c r="F6" s="71">
        <f>'[1]Data Room&gt;'!J33</f>
        <v>3871</v>
      </c>
      <c r="G6" s="71">
        <f>'[1]Data Room&gt;'!K33</f>
        <v>4637</v>
      </c>
      <c r="H6" s="71">
        <f>'[1]Data Room&gt;'!L33</f>
        <v>4889</v>
      </c>
      <c r="I6" s="71">
        <f>'[1]Data Room&gt;'!M33</f>
        <v>4314</v>
      </c>
    </row>
    <row r="7" spans="2:9" x14ac:dyDescent="0.3">
      <c r="B7" s="63" t="str">
        <f>'[1]Data Room&gt;'!A34</f>
        <v>Prov for Doubtful</v>
      </c>
      <c r="C7" s="63"/>
      <c r="D7" s="63"/>
      <c r="E7" s="71">
        <f>'[1]Data Room&gt;'!I34</f>
        <v>-185</v>
      </c>
      <c r="F7" s="71">
        <f>'[1]Data Room&gt;'!J34</f>
        <v>-241</v>
      </c>
      <c r="G7" s="71">
        <f>'[1]Data Room&gt;'!K34</f>
        <v>-305</v>
      </c>
      <c r="H7" s="71">
        <f>'[1]Data Room&gt;'!L34</f>
        <v>-422</v>
      </c>
      <c r="I7" s="71">
        <f>'[1]Data Room&gt;'!M34</f>
        <v>-663</v>
      </c>
    </row>
    <row r="8" spans="2:9" x14ac:dyDescent="0.3">
      <c r="B8" s="63" t="str">
        <f>'[1]Data Room&gt;'!A36</f>
        <v>Loans n Advances</v>
      </c>
      <c r="C8" s="63"/>
      <c r="D8" s="63"/>
      <c r="E8" s="71">
        <f>'[1]Data Room&gt;'!I36</f>
        <v>11</v>
      </c>
      <c r="F8" s="71">
        <f>'[1]Data Room&gt;'!J36</f>
        <v>8</v>
      </c>
      <c r="G8" s="71">
        <f>'[1]Data Room&gt;'!K36</f>
        <v>12</v>
      </c>
      <c r="H8" s="71">
        <f>'[1]Data Room&gt;'!L36</f>
        <v>17</v>
      </c>
      <c r="I8" s="71">
        <f>'[1]Data Room&gt;'!M36</f>
        <v>22</v>
      </c>
    </row>
    <row r="9" spans="2:9" ht="15" thickBot="1" x14ac:dyDescent="0.35">
      <c r="B9" s="64" t="str">
        <f>'[1]Data Room&gt;'!A37</f>
        <v>Other asset items</v>
      </c>
      <c r="C9" s="64"/>
      <c r="D9" s="64"/>
      <c r="E9" s="72">
        <f>'[1]Data Room&gt;'!I37</f>
        <v>2555</v>
      </c>
      <c r="F9" s="72">
        <f>'[1]Data Room&gt;'!J37</f>
        <v>2869</v>
      </c>
      <c r="G9" s="72">
        <f>'[1]Data Room&gt;'!K37</f>
        <v>3024</v>
      </c>
      <c r="H9" s="72">
        <f>'[1]Data Room&gt;'!L37</f>
        <v>3555</v>
      </c>
      <c r="I9" s="72">
        <f>'[1]Data Room&gt;'!M37</f>
        <v>3319</v>
      </c>
    </row>
    <row r="10" spans="2:9" x14ac:dyDescent="0.3">
      <c r="B10" s="65" t="s">
        <v>196</v>
      </c>
      <c r="C10" s="66"/>
      <c r="D10" s="66"/>
      <c r="E10" s="73">
        <f>SUM(E5:E9)</f>
        <v>8782</v>
      </c>
      <c r="F10" s="73">
        <f t="shared" ref="F10:I10" si="0">SUM(F5:F9)</f>
        <v>12660</v>
      </c>
      <c r="G10" s="73">
        <f t="shared" si="0"/>
        <v>13579</v>
      </c>
      <c r="H10" s="73">
        <f t="shared" si="0"/>
        <v>13962</v>
      </c>
      <c r="I10" s="73">
        <f t="shared" si="0"/>
        <v>13711</v>
      </c>
    </row>
    <row r="11" spans="2:9" x14ac:dyDescent="0.3">
      <c r="E11" s="74"/>
      <c r="F11" s="74"/>
      <c r="G11" s="74"/>
      <c r="H11" s="74"/>
      <c r="I11" s="74"/>
    </row>
    <row r="12" spans="2:9" x14ac:dyDescent="0.3">
      <c r="E12" s="74"/>
      <c r="F12" s="74"/>
      <c r="G12" s="74"/>
      <c r="H12" s="74"/>
      <c r="I12" s="74"/>
    </row>
    <row r="13" spans="2:9" x14ac:dyDescent="0.3">
      <c r="B13" s="2" t="s">
        <v>197</v>
      </c>
      <c r="E13" s="74"/>
      <c r="F13" s="74"/>
      <c r="G13" s="74"/>
      <c r="H13" s="74"/>
      <c r="I13" s="74"/>
    </row>
    <row r="14" spans="2:9" x14ac:dyDescent="0.3">
      <c r="B14" s="63" t="str">
        <f>'[1]Data Room&gt;'!A11</f>
        <v>Trade Payables</v>
      </c>
      <c r="C14" s="63"/>
      <c r="D14" s="63"/>
      <c r="E14" s="71">
        <f>'[1]Data Room&gt;'!I11</f>
        <v>3379</v>
      </c>
      <c r="F14" s="71">
        <f>'[1]Data Room&gt;'!J11</f>
        <v>4164</v>
      </c>
      <c r="G14" s="71">
        <f>'[1]Data Room&gt;'!K11</f>
        <v>3635</v>
      </c>
      <c r="H14" s="71">
        <f>'[1]Data Room&gt;'!L11</f>
        <v>3831</v>
      </c>
      <c r="I14" s="71">
        <f>'[1]Data Room&gt;'!M11</f>
        <v>3848</v>
      </c>
    </row>
    <row r="15" spans="2:9" x14ac:dyDescent="0.3">
      <c r="B15" s="63" t="str">
        <f>'[1]Data Room&gt;'!A12</f>
        <v>Advance from Customers</v>
      </c>
      <c r="C15" s="63"/>
      <c r="D15" s="63"/>
      <c r="E15" s="71">
        <f>'[1]Data Room&gt;'!I12</f>
        <v>41</v>
      </c>
      <c r="F15" s="71">
        <f>'[1]Data Room&gt;'!J12</f>
        <v>76</v>
      </c>
      <c r="G15" s="71">
        <f>'[1]Data Room&gt;'!K12</f>
        <v>108</v>
      </c>
      <c r="H15" s="71">
        <f>'[1]Data Room&gt;'!L12</f>
        <v>154</v>
      </c>
      <c r="I15" s="71">
        <f>'[1]Data Room&gt;'!M12</f>
        <v>173</v>
      </c>
    </row>
    <row r="16" spans="2:9" ht="15" thickBot="1" x14ac:dyDescent="0.35">
      <c r="B16" s="64" t="str">
        <f>'[1]Data Room&gt;'!A13</f>
        <v>Other liability items</v>
      </c>
      <c r="C16" s="64"/>
      <c r="D16" s="64"/>
      <c r="E16" s="72">
        <f>'[1]Data Room&gt;'!I13</f>
        <v>2613</v>
      </c>
      <c r="F16" s="72">
        <f>'[1]Data Room&gt;'!J13</f>
        <v>2932</v>
      </c>
      <c r="G16" s="72">
        <f>'[1]Data Room&gt;'!K13</f>
        <v>3657</v>
      </c>
      <c r="H16" s="72">
        <f>'[1]Data Room&gt;'!L13</f>
        <v>4017</v>
      </c>
      <c r="I16" s="72">
        <f>'[1]Data Room&gt;'!M13</f>
        <v>3985</v>
      </c>
    </row>
    <row r="17" spans="1:9" x14ac:dyDescent="0.3">
      <c r="B17" s="65" t="s">
        <v>198</v>
      </c>
      <c r="C17" s="66"/>
      <c r="D17" s="66"/>
      <c r="E17" s="73">
        <f>SUM(E14:E16)</f>
        <v>6033</v>
      </c>
      <c r="F17" s="73">
        <f t="shared" ref="F17:I17" si="1">SUM(F14:F16)</f>
        <v>7172</v>
      </c>
      <c r="G17" s="73">
        <f t="shared" si="1"/>
        <v>7400</v>
      </c>
      <c r="H17" s="73">
        <f t="shared" si="1"/>
        <v>8002</v>
      </c>
      <c r="I17" s="73">
        <f t="shared" si="1"/>
        <v>8006</v>
      </c>
    </row>
    <row r="18" spans="1:9" x14ac:dyDescent="0.3">
      <c r="E18" s="74"/>
      <c r="F18" s="74"/>
      <c r="G18" s="74"/>
      <c r="H18" s="74"/>
      <c r="I18" s="74"/>
    </row>
    <row r="19" spans="1:9" ht="15" thickBot="1" x14ac:dyDescent="0.35">
      <c r="A19" t="s">
        <v>57</v>
      </c>
      <c r="B19" s="67" t="s">
        <v>199</v>
      </c>
      <c r="C19" s="68"/>
      <c r="D19" s="68"/>
      <c r="E19" s="75">
        <f>E10-E17</f>
        <v>2749</v>
      </c>
      <c r="F19" s="75">
        <f t="shared" ref="F19:I19" si="2">F10-F17</f>
        <v>5488</v>
      </c>
      <c r="G19" s="75">
        <f t="shared" si="2"/>
        <v>6179</v>
      </c>
      <c r="H19" s="75">
        <f t="shared" si="2"/>
        <v>5960</v>
      </c>
      <c r="I19" s="75">
        <f t="shared" si="2"/>
        <v>5705</v>
      </c>
    </row>
    <row r="20" spans="1:9" x14ac:dyDescent="0.3">
      <c r="E20" s="74"/>
      <c r="F20" s="74"/>
      <c r="G20" s="74"/>
      <c r="H20" s="74"/>
      <c r="I20" s="74"/>
    </row>
    <row r="21" spans="1:9" x14ac:dyDescent="0.3">
      <c r="B21" s="2" t="s">
        <v>200</v>
      </c>
      <c r="E21" s="74"/>
      <c r="F21" s="74"/>
      <c r="G21" s="74"/>
      <c r="H21" s="74"/>
      <c r="I21" s="74"/>
    </row>
    <row r="22" spans="1:9" x14ac:dyDescent="0.3">
      <c r="B22" s="63" t="str">
        <f>'[1]Data Room&gt;'!A16</f>
        <v>Land</v>
      </c>
      <c r="C22" s="63"/>
      <c r="D22" s="63"/>
      <c r="E22" s="71">
        <f>'[1]Data Room&gt;'!I16</f>
        <v>644</v>
      </c>
      <c r="F22" s="71">
        <f>'[1]Data Room&gt;'!J16</f>
        <v>644</v>
      </c>
      <c r="G22" s="71">
        <f>'[1]Data Room&gt;'!K16</f>
        <v>804</v>
      </c>
      <c r="H22" s="71">
        <f>'[1]Data Room&gt;'!L16</f>
        <v>1126</v>
      </c>
      <c r="I22" s="71">
        <f>'[1]Data Room&gt;'!M16</f>
        <v>1050</v>
      </c>
    </row>
    <row r="23" spans="1:9" x14ac:dyDescent="0.3">
      <c r="B23" s="63" t="str">
        <f>'[1]Data Room&gt;'!A17</f>
        <v>Building</v>
      </c>
      <c r="C23" s="63"/>
      <c r="D23" s="63"/>
      <c r="E23" s="71">
        <f>'[1]Data Room&gt;'!I17</f>
        <v>2249</v>
      </c>
      <c r="F23" s="71">
        <f>'[1]Data Room&gt;'!J17</f>
        <v>2325</v>
      </c>
      <c r="G23" s="71">
        <f>'[1]Data Room&gt;'!K17</f>
        <v>2883</v>
      </c>
      <c r="H23" s="71">
        <f>'[1]Data Room&gt;'!L17</f>
        <v>3390</v>
      </c>
      <c r="I23" s="71">
        <f>'[1]Data Room&gt;'!M17</f>
        <v>4136</v>
      </c>
    </row>
    <row r="24" spans="1:9" x14ac:dyDescent="0.3">
      <c r="B24" s="63" t="str">
        <f>'[1]Data Room&gt;'!A18</f>
        <v>Plant Machinery</v>
      </c>
      <c r="C24" s="63"/>
      <c r="D24" s="63"/>
      <c r="E24" s="71">
        <f>'[1]Data Room&gt;'!I18</f>
        <v>4340</v>
      </c>
      <c r="F24" s="71">
        <f>'[1]Data Room&gt;'!J18</f>
        <v>4531</v>
      </c>
      <c r="G24" s="71">
        <f>'[1]Data Room&gt;'!K18</f>
        <v>4825</v>
      </c>
      <c r="H24" s="71">
        <f>'[1]Data Room&gt;'!L18</f>
        <v>5422</v>
      </c>
      <c r="I24" s="71">
        <f>'[1]Data Room&gt;'!M18</f>
        <v>7576</v>
      </c>
    </row>
    <row r="25" spans="1:9" x14ac:dyDescent="0.3">
      <c r="B25" s="63" t="str">
        <f>'[1]Data Room&gt;'!A19</f>
        <v>Equipments</v>
      </c>
      <c r="C25" s="63"/>
      <c r="D25" s="63"/>
      <c r="E25" s="71">
        <f>'[1]Data Room&gt;'!I19</f>
        <v>243</v>
      </c>
      <c r="F25" s="71">
        <f>'[1]Data Room&gt;'!J19</f>
        <v>253</v>
      </c>
      <c r="G25" s="71">
        <f>'[1]Data Room&gt;'!K19</f>
        <v>270</v>
      </c>
      <c r="H25" s="71">
        <f>'[1]Data Room&gt;'!L19</f>
        <v>298</v>
      </c>
      <c r="I25" s="71">
        <f>'[1]Data Room&gt;'!M19</f>
        <v>325</v>
      </c>
    </row>
    <row r="26" spans="1:9" x14ac:dyDescent="0.3">
      <c r="B26" s="63" t="str">
        <f>'[1]Data Room&gt;'!A20</f>
        <v>Furniture n fittings</v>
      </c>
      <c r="C26" s="63"/>
      <c r="D26" s="63"/>
      <c r="E26" s="71">
        <f>'[1]Data Room&gt;'!I20</f>
        <v>99</v>
      </c>
      <c r="F26" s="71">
        <f>'[1]Data Room&gt;'!J20</f>
        <v>113</v>
      </c>
      <c r="G26" s="71">
        <f>'[1]Data Room&gt;'!K20</f>
        <v>146</v>
      </c>
      <c r="H26" s="71">
        <f>'[1]Data Room&gt;'!L20</f>
        <v>175</v>
      </c>
      <c r="I26" s="71">
        <f>'[1]Data Room&gt;'!M20</f>
        <v>203</v>
      </c>
    </row>
    <row r="27" spans="1:9" x14ac:dyDescent="0.3">
      <c r="B27" s="63" t="str">
        <f>'[1]Data Room&gt;'!A21</f>
        <v>Vehicles</v>
      </c>
      <c r="C27" s="63"/>
      <c r="D27" s="63"/>
      <c r="E27" s="71">
        <f>'[1]Data Room&gt;'!I21</f>
        <v>38</v>
      </c>
      <c r="F27" s="71">
        <f>'[1]Data Room&gt;'!J21</f>
        <v>32</v>
      </c>
      <c r="G27" s="71">
        <f>'[1]Data Room&gt;'!K21</f>
        <v>36</v>
      </c>
      <c r="H27" s="71">
        <f>'[1]Data Room&gt;'!L21</f>
        <v>40</v>
      </c>
      <c r="I27" s="71">
        <f>'[1]Data Room&gt;'!M21</f>
        <v>39</v>
      </c>
    </row>
    <row r="28" spans="1:9" x14ac:dyDescent="0.3">
      <c r="B28" s="63" t="str">
        <f>'[1]Data Room&gt;'!A22</f>
        <v>Intangible Assets</v>
      </c>
      <c r="C28" s="63"/>
      <c r="D28" s="63"/>
      <c r="E28" s="71">
        <f>'[1]Data Room&gt;'!I22</f>
        <v>476</v>
      </c>
      <c r="F28" s="71">
        <f>'[1]Data Room&gt;'!J22</f>
        <v>345</v>
      </c>
      <c r="G28" s="71">
        <f>'[1]Data Room&gt;'!K22</f>
        <v>422</v>
      </c>
      <c r="H28" s="71">
        <f>'[1]Data Room&gt;'!L22</f>
        <v>850</v>
      </c>
      <c r="I28" s="71">
        <f>'[1]Data Room&gt;'!M22</f>
        <v>827</v>
      </c>
    </row>
    <row r="29" spans="1:9" ht="15" thickBot="1" x14ac:dyDescent="0.35">
      <c r="B29" s="64" t="str">
        <f>'[1]Data Room&gt;'!A23</f>
        <v>Other fixed assets</v>
      </c>
      <c r="C29" s="64"/>
      <c r="D29" s="64"/>
      <c r="E29" s="72">
        <f>'[1]Data Room&gt;'!I23</f>
        <v>302</v>
      </c>
      <c r="F29" s="72">
        <f>'[1]Data Room&gt;'!J23</f>
        <v>294</v>
      </c>
      <c r="G29" s="72">
        <f>'[1]Data Room&gt;'!K23</f>
        <v>289</v>
      </c>
      <c r="H29" s="72">
        <f>'[1]Data Room&gt;'!L23</f>
        <v>321</v>
      </c>
      <c r="I29" s="72">
        <f>'[1]Data Room&gt;'!M23</f>
        <v>328</v>
      </c>
    </row>
    <row r="30" spans="1:9" x14ac:dyDescent="0.3">
      <c r="B30" s="69" t="s">
        <v>184</v>
      </c>
      <c r="C30" s="70"/>
      <c r="D30" s="70"/>
      <c r="E30" s="76">
        <f>SUM(E22:E29)</f>
        <v>8391</v>
      </c>
      <c r="F30" s="76">
        <f t="shared" ref="F30:I30" si="3">SUM(F22:F29)</f>
        <v>8537</v>
      </c>
      <c r="G30" s="76">
        <f t="shared" si="3"/>
        <v>9675</v>
      </c>
      <c r="H30" s="76">
        <f t="shared" si="3"/>
        <v>11622</v>
      </c>
      <c r="I30" s="76">
        <f t="shared" si="3"/>
        <v>14484</v>
      </c>
    </row>
    <row r="31" spans="1:9" ht="15" thickBot="1" x14ac:dyDescent="0.35">
      <c r="B31" s="68" t="s">
        <v>201</v>
      </c>
      <c r="C31" s="68"/>
      <c r="D31" s="68"/>
      <c r="E31" s="75">
        <f>'[1]Data Room&gt;'!B25</f>
        <v>1242</v>
      </c>
      <c r="F31" s="75">
        <f>'[1]Data Room&gt;'!C25</f>
        <v>1452</v>
      </c>
      <c r="G31" s="75">
        <f>'[1]Data Room&gt;'!D25</f>
        <v>327</v>
      </c>
      <c r="H31" s="75">
        <f>'[1]Data Room&gt;'!E25</f>
        <v>610</v>
      </c>
      <c r="I31" s="75">
        <f>'[1]Data Room&gt;'!F25</f>
        <v>973</v>
      </c>
    </row>
    <row r="32" spans="1:9" x14ac:dyDescent="0.3">
      <c r="B32" s="2" t="s">
        <v>202</v>
      </c>
      <c r="E32" s="74">
        <f>E30-E31</f>
        <v>7149</v>
      </c>
      <c r="F32" s="74">
        <f t="shared" ref="F32:I32" si="4">F30-F31</f>
        <v>7085</v>
      </c>
      <c r="G32" s="74">
        <f t="shared" si="4"/>
        <v>9348</v>
      </c>
      <c r="H32" s="74">
        <f t="shared" si="4"/>
        <v>11012</v>
      </c>
      <c r="I32" s="74">
        <f t="shared" si="4"/>
        <v>13511</v>
      </c>
    </row>
    <row r="33" spans="1:9" x14ac:dyDescent="0.3">
      <c r="E33" s="74"/>
      <c r="F33" s="74"/>
      <c r="G33" s="74"/>
      <c r="H33" s="74"/>
      <c r="I33" s="74"/>
    </row>
    <row r="34" spans="1:9" x14ac:dyDescent="0.3">
      <c r="A34" t="s">
        <v>57</v>
      </c>
      <c r="B34" s="2" t="s">
        <v>203</v>
      </c>
      <c r="E34" s="74">
        <f>E32+E19</f>
        <v>9898</v>
      </c>
      <c r="F34" s="74">
        <f t="shared" ref="F34:I34" si="5">F32+F19</f>
        <v>12573</v>
      </c>
      <c r="G34" s="74">
        <f t="shared" si="5"/>
        <v>15527</v>
      </c>
      <c r="H34" s="74">
        <f t="shared" si="5"/>
        <v>16972</v>
      </c>
      <c r="I34" s="74">
        <f t="shared" si="5"/>
        <v>19216</v>
      </c>
    </row>
    <row r="35" spans="1:9" x14ac:dyDescent="0.3">
      <c r="B35" s="2" t="s">
        <v>204</v>
      </c>
      <c r="E35" s="74">
        <f>'Historical FS'!C25+'Historical FS'!C19</f>
        <v>21684.469999999972</v>
      </c>
      <c r="F35" s="74">
        <f>'Historical FS'!D25+'Historical FS'!D19</f>
        <v>-3116.1400000000085</v>
      </c>
      <c r="G35" s="74">
        <f>'Historical FS'!E25+'Historical FS'!E19</f>
        <v>5810.9300000000176</v>
      </c>
      <c r="H35" s="74">
        <f>'Historical FS'!F25+'Historical FS'!F19</f>
        <v>5180.2600000000184</v>
      </c>
      <c r="I35" s="74">
        <f>'Historical FS'!G25+'Historical FS'!G19</f>
        <v>1024.0199999999659</v>
      </c>
    </row>
    <row r="36" spans="1:9" ht="15" thickBot="1" x14ac:dyDescent="0.35"/>
    <row r="37" spans="1:9" ht="15" thickBot="1" x14ac:dyDescent="0.35">
      <c r="A37" t="s">
        <v>57</v>
      </c>
      <c r="B37" s="2" t="s">
        <v>205</v>
      </c>
      <c r="E37" s="83">
        <f>E35/E34</f>
        <v>2.1907930895130301</v>
      </c>
      <c r="F37" s="83">
        <f t="shared" ref="F37:I37" si="6">F35/F34</f>
        <v>-0.24784379225324174</v>
      </c>
      <c r="G37" s="83">
        <f t="shared" si="6"/>
        <v>0.37424679590391047</v>
      </c>
      <c r="H37" s="83">
        <f t="shared" si="6"/>
        <v>0.30522389818524737</v>
      </c>
      <c r="I37" s="83">
        <f t="shared" si="6"/>
        <v>5.3289966694419537E-2</v>
      </c>
    </row>
    <row r="38" spans="1:9" ht="15" thickTop="1" x14ac:dyDescent="0.3"/>
    <row r="39" spans="1:9" x14ac:dyDescent="0.3">
      <c r="B39" s="61" t="s">
        <v>206</v>
      </c>
      <c r="C39" s="61"/>
      <c r="D39" s="61"/>
      <c r="E39" s="62">
        <f>'Data Room &gt;'!I1</f>
        <v>44256</v>
      </c>
      <c r="F39" s="62">
        <f>'Data Room &gt;'!J1</f>
        <v>44621</v>
      </c>
      <c r="G39" s="62">
        <f>'Data Room &gt;'!K1</f>
        <v>44986</v>
      </c>
      <c r="H39" s="62">
        <f>'Data Room &gt;'!L1</f>
        <v>45352</v>
      </c>
      <c r="I39" s="62">
        <f>'Data Room &gt;'!M1</f>
        <v>45717</v>
      </c>
    </row>
    <row r="41" spans="1:9" x14ac:dyDescent="0.3">
      <c r="B41" t="s">
        <v>207</v>
      </c>
      <c r="E41" s="79">
        <f>-SUM('Raw FS'!I13:I14)</f>
        <v>280</v>
      </c>
      <c r="F41" s="79">
        <f>-SUM('Raw FS'!J13:J14)</f>
        <v>192</v>
      </c>
      <c r="G41" s="79">
        <f>-SUM('Raw FS'!K13:K14)</f>
        <v>388</v>
      </c>
      <c r="H41" s="79">
        <f>-SUM('Raw FS'!L13:L14)</f>
        <v>1208</v>
      </c>
      <c r="I41" s="79">
        <f>-SUM('Raw FS'!M13:M14)</f>
        <v>2185</v>
      </c>
    </row>
    <row r="42" spans="1:9" x14ac:dyDescent="0.3">
      <c r="B42" t="s">
        <v>208</v>
      </c>
      <c r="E42" s="79"/>
      <c r="F42" s="79">
        <f>F19-E19</f>
        <v>2739</v>
      </c>
      <c r="G42" s="79">
        <f t="shared" ref="G42:I42" si="7">G19-F19</f>
        <v>691</v>
      </c>
      <c r="H42" s="79">
        <f t="shared" si="7"/>
        <v>-219</v>
      </c>
      <c r="I42" s="79">
        <f t="shared" si="7"/>
        <v>-255</v>
      </c>
    </row>
    <row r="43" spans="1:9" x14ac:dyDescent="0.3">
      <c r="E43" s="63"/>
      <c r="F43" s="63"/>
      <c r="G43" s="63"/>
      <c r="H43" s="63"/>
      <c r="I43" s="63"/>
    </row>
    <row r="44" spans="1:9" x14ac:dyDescent="0.3">
      <c r="B44" t="s">
        <v>204</v>
      </c>
      <c r="E44" s="71">
        <f>E35</f>
        <v>21684.469999999972</v>
      </c>
      <c r="F44" s="71">
        <f t="shared" ref="F44:I44" si="8">F35</f>
        <v>-3116.1400000000085</v>
      </c>
      <c r="G44" s="71">
        <f t="shared" si="8"/>
        <v>5810.9300000000176</v>
      </c>
      <c r="H44" s="71">
        <f t="shared" si="8"/>
        <v>5180.2600000000184</v>
      </c>
      <c r="I44" s="71">
        <f t="shared" si="8"/>
        <v>1024.0199999999659</v>
      </c>
    </row>
    <row r="45" spans="1:9" x14ac:dyDescent="0.3">
      <c r="B45" t="s">
        <v>209</v>
      </c>
      <c r="E45" s="80">
        <v>0.25</v>
      </c>
      <c r="F45" s="80">
        <v>0.25</v>
      </c>
      <c r="G45" s="80">
        <v>0.25</v>
      </c>
      <c r="H45" s="80">
        <v>0.25</v>
      </c>
      <c r="I45" s="80">
        <v>0.25</v>
      </c>
    </row>
    <row r="46" spans="1:9" x14ac:dyDescent="0.3">
      <c r="B46" t="s">
        <v>211</v>
      </c>
      <c r="E46" s="63">
        <f>E44*(1-E45)</f>
        <v>16263.352499999979</v>
      </c>
      <c r="F46" s="63">
        <f t="shared" ref="F46:I46" si="9">F44*(1-F45)</f>
        <v>-2337.1050000000064</v>
      </c>
      <c r="G46" s="63">
        <f t="shared" si="9"/>
        <v>4358.197500000013</v>
      </c>
      <c r="H46" s="63">
        <f t="shared" si="9"/>
        <v>3885.1950000000138</v>
      </c>
      <c r="I46" s="63">
        <f t="shared" si="9"/>
        <v>768.01499999997441</v>
      </c>
    </row>
    <row r="47" spans="1:9" x14ac:dyDescent="0.3">
      <c r="E47" s="63"/>
      <c r="F47" s="63"/>
      <c r="G47" s="63"/>
      <c r="H47" s="63"/>
      <c r="I47" s="63"/>
    </row>
    <row r="48" spans="1:9" ht="15" thickBot="1" x14ac:dyDescent="0.35">
      <c r="B48" t="s">
        <v>210</v>
      </c>
      <c r="E48" s="81"/>
      <c r="F48" s="81">
        <f>SUM(F41:F42)</f>
        <v>2931</v>
      </c>
      <c r="G48" s="81">
        <f t="shared" ref="G48:I48" si="10">SUM(G41:G42)</f>
        <v>1079</v>
      </c>
      <c r="H48" s="81">
        <f t="shared" si="10"/>
        <v>989</v>
      </c>
      <c r="I48" s="81">
        <f t="shared" si="10"/>
        <v>1930</v>
      </c>
    </row>
    <row r="49" spans="2:9" ht="15" thickBot="1" x14ac:dyDescent="0.35">
      <c r="B49" s="2" t="s">
        <v>212</v>
      </c>
      <c r="C49" s="2"/>
      <c r="D49" s="2"/>
      <c r="E49" s="82"/>
      <c r="F49" s="83">
        <f>F48/F42</f>
        <v>1.0700985761226725</v>
      </c>
      <c r="G49" s="83">
        <f t="shared" ref="G49:I49" si="11">G48/G42</f>
        <v>1.5615050651230102</v>
      </c>
      <c r="H49" s="83">
        <f t="shared" si="11"/>
        <v>-4.5159817351598175</v>
      </c>
      <c r="I49" s="83">
        <f t="shared" si="11"/>
        <v>-7.5686274509803919</v>
      </c>
    </row>
    <row r="50" spans="2:9" ht="15" thickTop="1" x14ac:dyDescent="0.3"/>
    <row r="51" spans="2:9" x14ac:dyDescent="0.3">
      <c r="G51" s="77" t="s">
        <v>213</v>
      </c>
      <c r="H51" s="77"/>
      <c r="I51" s="78">
        <f>AVERAGE(F49:I49)</f>
        <v>-2.3632513862236317</v>
      </c>
    </row>
    <row r="52" spans="2:9" x14ac:dyDescent="0.3">
      <c r="G52" s="77" t="s">
        <v>214</v>
      </c>
      <c r="H52" s="77"/>
      <c r="I52" s="78">
        <f>MEDIAN(F49:I49)</f>
        <v>-1.7229415795185723</v>
      </c>
    </row>
    <row r="54" spans="2:9" x14ac:dyDescent="0.3">
      <c r="B54" s="61" t="s">
        <v>215</v>
      </c>
      <c r="C54" s="61"/>
      <c r="D54" s="61"/>
      <c r="E54" s="62">
        <v>44256</v>
      </c>
      <c r="F54" s="62">
        <v>44621</v>
      </c>
      <c r="G54" s="62">
        <v>44986</v>
      </c>
      <c r="H54" s="62">
        <v>45352</v>
      </c>
      <c r="I54" s="62">
        <v>45717</v>
      </c>
    </row>
    <row r="56" spans="2:9" x14ac:dyDescent="0.3">
      <c r="B56" t="s">
        <v>205</v>
      </c>
      <c r="F56" s="4">
        <f>F37</f>
        <v>-0.24784379225324174</v>
      </c>
      <c r="G56" s="4">
        <f t="shared" ref="G56:I56" si="12">G37</f>
        <v>0.37424679590391047</v>
      </c>
      <c r="H56" s="4">
        <f t="shared" si="12"/>
        <v>0.30522389818524737</v>
      </c>
      <c r="I56" s="4">
        <f t="shared" si="12"/>
        <v>5.3289966694419537E-2</v>
      </c>
    </row>
    <row r="57" spans="2:9" x14ac:dyDescent="0.3">
      <c r="B57" t="s">
        <v>212</v>
      </c>
      <c r="F57" s="4">
        <f>F49</f>
        <v>1.0700985761226725</v>
      </c>
      <c r="G57" s="4">
        <f t="shared" ref="G57:I57" si="13">G49</f>
        <v>1.5615050651230102</v>
      </c>
      <c r="H57" s="4">
        <f t="shared" si="13"/>
        <v>-4.5159817351598175</v>
      </c>
      <c r="I57" s="4">
        <f t="shared" si="13"/>
        <v>-7.5686274509803919</v>
      </c>
    </row>
    <row r="59" spans="2:9" x14ac:dyDescent="0.3">
      <c r="B59" t="s">
        <v>216</v>
      </c>
      <c r="F59" s="4">
        <f>F56*F57</f>
        <v>-0.26521728919103743</v>
      </c>
      <c r="G59" s="4">
        <f t="shared" ref="G59:I59" si="14">G56*G57</f>
        <v>0.5843882674100136</v>
      </c>
      <c r="H59" s="4">
        <f t="shared" si="14"/>
        <v>-1.3783855493388568</v>
      </c>
      <c r="I59" s="4">
        <f t="shared" si="14"/>
        <v>-0.40333190478521452</v>
      </c>
    </row>
    <row r="61" spans="2:9" x14ac:dyDescent="0.3">
      <c r="G61" s="77" t="s">
        <v>213</v>
      </c>
      <c r="H61" s="77"/>
      <c r="I61" s="78">
        <f>AVERAGE(F59:I59)</f>
        <v>-0.36563661897627375</v>
      </c>
    </row>
    <row r="62" spans="2:9" x14ac:dyDescent="0.3">
      <c r="G62" s="77" t="s">
        <v>214</v>
      </c>
      <c r="H62" s="77"/>
      <c r="I62" s="78">
        <f>MEDIAN(F59:I59)</f>
        <v>-0.334274596988126</v>
      </c>
    </row>
  </sheetData>
  <pageMargins left="0.7" right="0.7" top="0.75" bottom="0.75" header="0.3" footer="0.3"/>
  <ignoredErrors>
    <ignoredError sqref="E41:I4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5CBE-3317-475B-BBE9-FD8E9CC8FBB7}">
  <dimension ref="B2:N31"/>
  <sheetViews>
    <sheetView workbookViewId="0">
      <selection activeCell="P23" sqref="P23"/>
    </sheetView>
  </sheetViews>
  <sheetFormatPr defaultRowHeight="14.4" x14ac:dyDescent="0.3"/>
  <cols>
    <col min="2" max="2" width="27.6640625" customWidth="1"/>
  </cols>
  <sheetData>
    <row r="2" spans="2:14" x14ac:dyDescent="0.3">
      <c r="C2" s="29">
        <v>41699</v>
      </c>
      <c r="D2" s="29">
        <v>42064</v>
      </c>
      <c r="E2" s="29">
        <v>42430</v>
      </c>
      <c r="F2" s="29">
        <v>42795</v>
      </c>
      <c r="G2" s="29">
        <v>43160</v>
      </c>
      <c r="H2" s="29">
        <v>43525</v>
      </c>
      <c r="I2" s="29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x14ac:dyDescent="0.3">
      <c r="B3" s="2" t="s">
        <v>85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">
      <c r="B4" t="s">
        <v>86</v>
      </c>
      <c r="C4" s="30">
        <v>1839</v>
      </c>
      <c r="D4" s="30">
        <v>2077</v>
      </c>
      <c r="E4" s="30">
        <v>2577</v>
      </c>
      <c r="F4" s="30">
        <v>2809</v>
      </c>
      <c r="G4" s="30">
        <v>3081</v>
      </c>
      <c r="H4" s="30">
        <v>3644</v>
      </c>
      <c r="I4" s="30">
        <v>4116</v>
      </c>
      <c r="J4" s="30">
        <v>4699</v>
      </c>
      <c r="K4" s="30">
        <v>4868</v>
      </c>
      <c r="L4" s="30">
        <v>6089</v>
      </c>
      <c r="M4" s="30">
        <v>7406</v>
      </c>
      <c r="N4" s="30">
        <v>6077</v>
      </c>
    </row>
    <row r="5" spans="2:14" x14ac:dyDescent="0.3">
      <c r="B5" t="s">
        <v>43</v>
      </c>
      <c r="C5">
        <v>-157</v>
      </c>
      <c r="D5">
        <v>-91</v>
      </c>
      <c r="E5">
        <v>-35</v>
      </c>
      <c r="F5">
        <v>-241</v>
      </c>
      <c r="G5">
        <v>-150</v>
      </c>
      <c r="H5">
        <v>-114</v>
      </c>
      <c r="I5">
        <v>116</v>
      </c>
      <c r="J5">
        <v>-724</v>
      </c>
      <c r="K5" s="30">
        <v>-1142</v>
      </c>
      <c r="L5">
        <v>-582</v>
      </c>
      <c r="M5">
        <v>-267</v>
      </c>
      <c r="N5">
        <v>259</v>
      </c>
    </row>
    <row r="6" spans="2:14" x14ac:dyDescent="0.3">
      <c r="B6" t="s">
        <v>30</v>
      </c>
      <c r="C6">
        <v>-184</v>
      </c>
      <c r="D6">
        <v>-131</v>
      </c>
      <c r="E6">
        <v>192</v>
      </c>
      <c r="F6">
        <v>-584</v>
      </c>
      <c r="G6">
        <v>16</v>
      </c>
      <c r="H6">
        <v>-407</v>
      </c>
      <c r="I6">
        <v>-242</v>
      </c>
      <c r="J6">
        <v>-297</v>
      </c>
      <c r="K6" s="30">
        <v>-2153</v>
      </c>
      <c r="L6">
        <v>-44</v>
      </c>
      <c r="M6">
        <v>264</v>
      </c>
      <c r="N6">
        <v>-693</v>
      </c>
    </row>
    <row r="7" spans="2:14" x14ac:dyDescent="0.3">
      <c r="B7" t="s">
        <v>87</v>
      </c>
      <c r="C7">
        <v>359</v>
      </c>
      <c r="D7">
        <v>-166</v>
      </c>
      <c r="E7">
        <v>98</v>
      </c>
      <c r="F7">
        <v>464</v>
      </c>
      <c r="G7">
        <v>365</v>
      </c>
      <c r="H7">
        <v>174</v>
      </c>
      <c r="I7">
        <v>-368</v>
      </c>
      <c r="J7">
        <v>961</v>
      </c>
      <c r="K7">
        <v>593</v>
      </c>
      <c r="L7">
        <v>-442</v>
      </c>
      <c r="M7">
        <v>272</v>
      </c>
      <c r="N7">
        <v>-318</v>
      </c>
    </row>
    <row r="8" spans="2:14" x14ac:dyDescent="0.3">
      <c r="B8" t="s">
        <v>88</v>
      </c>
      <c r="C8">
        <v>-37</v>
      </c>
      <c r="D8">
        <v>32</v>
      </c>
      <c r="E8">
        <v>-99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89</v>
      </c>
      <c r="C9">
        <v>-4</v>
      </c>
      <c r="D9">
        <v>12</v>
      </c>
      <c r="E9">
        <v>7</v>
      </c>
      <c r="F9">
        <v>-185</v>
      </c>
      <c r="G9">
        <v>-191</v>
      </c>
      <c r="H9">
        <v>13</v>
      </c>
      <c r="I9">
        <v>125</v>
      </c>
      <c r="J9">
        <v>-164</v>
      </c>
      <c r="K9">
        <v>202</v>
      </c>
      <c r="L9">
        <v>615</v>
      </c>
      <c r="M9">
        <v>-185</v>
      </c>
      <c r="N9">
        <v>147</v>
      </c>
    </row>
    <row r="10" spans="2:14" x14ac:dyDescent="0.3">
      <c r="B10" t="s">
        <v>90</v>
      </c>
      <c r="C10">
        <v>-24</v>
      </c>
      <c r="D10">
        <v>-344</v>
      </c>
      <c r="E10">
        <v>164</v>
      </c>
      <c r="F10">
        <v>-546</v>
      </c>
      <c r="G10">
        <v>40</v>
      </c>
      <c r="H10">
        <v>-335</v>
      </c>
      <c r="I10">
        <v>-370</v>
      </c>
      <c r="J10">
        <v>-225</v>
      </c>
      <c r="K10" s="30">
        <v>-2499</v>
      </c>
      <c r="L10">
        <v>-453</v>
      </c>
      <c r="M10">
        <v>83</v>
      </c>
      <c r="N10">
        <v>-604</v>
      </c>
    </row>
    <row r="11" spans="2:14" x14ac:dyDescent="0.3">
      <c r="B11" t="s">
        <v>91</v>
      </c>
      <c r="C11">
        <v>-444</v>
      </c>
      <c r="D11">
        <v>-589</v>
      </c>
      <c r="E11">
        <v>-761</v>
      </c>
      <c r="F11">
        <v>-843</v>
      </c>
      <c r="G11">
        <v>-986</v>
      </c>
      <c r="H11">
        <v>-914</v>
      </c>
      <c r="I11">
        <v>-933</v>
      </c>
      <c r="J11" s="30">
        <v>-1015</v>
      </c>
      <c r="K11" s="30">
        <v>-1109</v>
      </c>
      <c r="L11" s="30">
        <v>-1415</v>
      </c>
      <c r="M11" s="30">
        <v>-1732</v>
      </c>
      <c r="N11" s="30">
        <v>-1306</v>
      </c>
    </row>
    <row r="12" spans="2:14" x14ac:dyDescent="0.3">
      <c r="B12" s="2" t="s">
        <v>92</v>
      </c>
      <c r="G12" s="30"/>
      <c r="L12" s="30"/>
      <c r="M12" s="30"/>
    </row>
    <row r="13" spans="2:14" x14ac:dyDescent="0.3">
      <c r="B13" t="s">
        <v>93</v>
      </c>
      <c r="C13">
        <v>-163</v>
      </c>
      <c r="D13">
        <v>-336</v>
      </c>
      <c r="E13">
        <v>-687</v>
      </c>
      <c r="F13">
        <v>-611</v>
      </c>
      <c r="G13" s="30">
        <v>-1358</v>
      </c>
      <c r="H13" s="30">
        <v>-1067</v>
      </c>
      <c r="I13">
        <v>-306</v>
      </c>
      <c r="J13">
        <v>-218</v>
      </c>
      <c r="K13">
        <v>-415</v>
      </c>
      <c r="L13" s="30">
        <v>-1224</v>
      </c>
      <c r="M13" s="30">
        <v>-2190</v>
      </c>
      <c r="N13" s="30">
        <v>-1067</v>
      </c>
    </row>
    <row r="14" spans="2:14" x14ac:dyDescent="0.3">
      <c r="B14" t="s">
        <v>94</v>
      </c>
      <c r="C14">
        <v>5</v>
      </c>
      <c r="D14">
        <v>1</v>
      </c>
      <c r="E14">
        <v>12</v>
      </c>
      <c r="F14">
        <v>2</v>
      </c>
      <c r="G14">
        <v>9</v>
      </c>
      <c r="H14">
        <v>15</v>
      </c>
      <c r="I14">
        <v>26</v>
      </c>
      <c r="J14">
        <v>26</v>
      </c>
      <c r="K14">
        <v>27</v>
      </c>
      <c r="L14">
        <v>16</v>
      </c>
      <c r="M14">
        <v>5</v>
      </c>
      <c r="N14">
        <v>8</v>
      </c>
    </row>
    <row r="15" spans="2:14" x14ac:dyDescent="0.3">
      <c r="B15" t="s">
        <v>95</v>
      </c>
      <c r="C15" s="30">
        <v>-1016</v>
      </c>
      <c r="D15">
        <v>-243</v>
      </c>
      <c r="E15">
        <v>-282</v>
      </c>
      <c r="F15">
        <v>-70</v>
      </c>
      <c r="G15">
        <v>-153</v>
      </c>
      <c r="H15">
        <v>-325</v>
      </c>
      <c r="I15">
        <v>-25</v>
      </c>
      <c r="J15">
        <v>-140</v>
      </c>
      <c r="K15">
        <v>0</v>
      </c>
      <c r="L15">
        <v>-146</v>
      </c>
      <c r="M15">
        <v>-212</v>
      </c>
      <c r="N15">
        <v>0</v>
      </c>
    </row>
    <row r="16" spans="2:14" x14ac:dyDescent="0.3">
      <c r="B16" t="s">
        <v>96</v>
      </c>
      <c r="C16">
        <v>461</v>
      </c>
      <c r="D16">
        <v>246</v>
      </c>
      <c r="E16">
        <v>233</v>
      </c>
      <c r="F16">
        <v>224</v>
      </c>
      <c r="G16">
        <v>196</v>
      </c>
      <c r="H16">
        <v>485</v>
      </c>
      <c r="I16">
        <v>117</v>
      </c>
      <c r="J16">
        <v>272</v>
      </c>
      <c r="K16">
        <v>207</v>
      </c>
      <c r="L16">
        <v>444</v>
      </c>
      <c r="M16">
        <v>273</v>
      </c>
      <c r="N16">
        <v>384</v>
      </c>
    </row>
    <row r="17" spans="2:14" x14ac:dyDescent="0.3">
      <c r="B17" t="s">
        <v>97</v>
      </c>
      <c r="C17">
        <v>5</v>
      </c>
      <c r="D17">
        <v>5</v>
      </c>
      <c r="E17">
        <v>5</v>
      </c>
      <c r="F17">
        <v>14</v>
      </c>
      <c r="G17">
        <v>20</v>
      </c>
      <c r="H17">
        <v>33</v>
      </c>
      <c r="I17">
        <v>41</v>
      </c>
      <c r="J17">
        <v>47</v>
      </c>
      <c r="K17">
        <v>56</v>
      </c>
      <c r="L17">
        <v>61</v>
      </c>
      <c r="M17">
        <v>106</v>
      </c>
      <c r="N17">
        <v>128</v>
      </c>
    </row>
    <row r="18" spans="2:14" x14ac:dyDescent="0.3">
      <c r="B18" t="s">
        <v>98</v>
      </c>
      <c r="C18">
        <v>91</v>
      </c>
      <c r="D18">
        <v>71</v>
      </c>
      <c r="E18">
        <v>70</v>
      </c>
      <c r="F18">
        <v>77</v>
      </c>
      <c r="G18">
        <v>43</v>
      </c>
      <c r="H18">
        <v>46</v>
      </c>
      <c r="I18">
        <v>35</v>
      </c>
      <c r="J18">
        <v>16</v>
      </c>
      <c r="K18">
        <v>15</v>
      </c>
      <c r="L18">
        <v>68</v>
      </c>
      <c r="M18">
        <v>157</v>
      </c>
      <c r="N18">
        <v>140</v>
      </c>
    </row>
    <row r="19" spans="2:14" x14ac:dyDescent="0.3">
      <c r="B19" t="s">
        <v>99</v>
      </c>
      <c r="C19">
        <v>0</v>
      </c>
      <c r="D19">
        <v>0</v>
      </c>
      <c r="E19">
        <v>-143</v>
      </c>
      <c r="F19">
        <v>0</v>
      </c>
      <c r="G19">
        <v>-212</v>
      </c>
      <c r="H19">
        <v>0</v>
      </c>
      <c r="I19">
        <v>-380</v>
      </c>
      <c r="J19">
        <v>0</v>
      </c>
      <c r="K19">
        <v>0</v>
      </c>
      <c r="L19">
        <v>-398</v>
      </c>
      <c r="M19">
        <v>-263</v>
      </c>
      <c r="N19">
        <v>-698</v>
      </c>
    </row>
    <row r="20" spans="2:14" x14ac:dyDescent="0.3"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-2</v>
      </c>
      <c r="I20">
        <v>-6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-80</v>
      </c>
      <c r="L21">
        <v>0</v>
      </c>
      <c r="M21">
        <v>0</v>
      </c>
      <c r="N21">
        <v>0</v>
      </c>
    </row>
    <row r="22" spans="2:14" x14ac:dyDescent="0.3">
      <c r="B22" t="s">
        <v>105</v>
      </c>
      <c r="C22">
        <v>0</v>
      </c>
      <c r="D22">
        <v>-36</v>
      </c>
      <c r="E22">
        <v>-70</v>
      </c>
      <c r="F22">
        <v>-219</v>
      </c>
      <c r="G22">
        <v>85</v>
      </c>
      <c r="H22">
        <v>-18</v>
      </c>
      <c r="I22">
        <v>-276</v>
      </c>
      <c r="J22">
        <v>-439</v>
      </c>
      <c r="K22">
        <v>-151</v>
      </c>
      <c r="L22">
        <v>-219</v>
      </c>
      <c r="M22">
        <v>-146</v>
      </c>
      <c r="N22">
        <v>273</v>
      </c>
    </row>
    <row r="23" spans="2:14" x14ac:dyDescent="0.3">
      <c r="B23" s="2" t="s">
        <v>106</v>
      </c>
      <c r="G23" s="30"/>
      <c r="H23" s="30"/>
      <c r="I23" s="30"/>
      <c r="K23" s="30"/>
      <c r="L23" s="30"/>
      <c r="M23" s="30"/>
      <c r="N23" s="30"/>
    </row>
    <row r="24" spans="2:14" x14ac:dyDescent="0.3">
      <c r="B24" t="s">
        <v>107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2:14" x14ac:dyDescent="0.3">
      <c r="B25" t="s">
        <v>108</v>
      </c>
      <c r="C25">
        <v>1</v>
      </c>
      <c r="D25">
        <v>20</v>
      </c>
      <c r="E25">
        <v>6</v>
      </c>
      <c r="F25">
        <v>8</v>
      </c>
      <c r="G25">
        <v>0</v>
      </c>
      <c r="H25">
        <v>154</v>
      </c>
      <c r="I25">
        <v>18</v>
      </c>
      <c r="J25">
        <v>117</v>
      </c>
      <c r="K25">
        <v>86</v>
      </c>
      <c r="L25">
        <v>74</v>
      </c>
      <c r="M25">
        <v>39</v>
      </c>
      <c r="N25">
        <v>195</v>
      </c>
    </row>
    <row r="26" spans="2:14" x14ac:dyDescent="0.3">
      <c r="B26" t="s">
        <v>109</v>
      </c>
      <c r="C26">
        <v>-8</v>
      </c>
      <c r="D26">
        <v>-48</v>
      </c>
      <c r="E26">
        <v>-7</v>
      </c>
      <c r="F26">
        <v>-41</v>
      </c>
      <c r="G26">
        <v>-2</v>
      </c>
      <c r="H26">
        <v>-1</v>
      </c>
      <c r="I26">
        <v>0</v>
      </c>
      <c r="J26">
        <v>-6</v>
      </c>
      <c r="K26">
        <v>-8</v>
      </c>
      <c r="L26">
        <v>-9</v>
      </c>
      <c r="M26">
        <v>-84</v>
      </c>
      <c r="N26">
        <v>-57</v>
      </c>
    </row>
    <row r="27" spans="2:14" x14ac:dyDescent="0.3">
      <c r="B27" t="s">
        <v>110</v>
      </c>
      <c r="C27">
        <v>-25</v>
      </c>
      <c r="D27">
        <v>-27</v>
      </c>
      <c r="E27">
        <v>-20</v>
      </c>
      <c r="F27">
        <v>-23</v>
      </c>
      <c r="G27">
        <v>-20</v>
      </c>
      <c r="H27">
        <v>-74</v>
      </c>
      <c r="I27">
        <v>-77</v>
      </c>
      <c r="J27">
        <v>-69</v>
      </c>
      <c r="K27">
        <v>-68</v>
      </c>
      <c r="L27">
        <v>-92</v>
      </c>
      <c r="M27">
        <v>-120</v>
      </c>
      <c r="N27">
        <v>-142</v>
      </c>
    </row>
    <row r="28" spans="2:14" x14ac:dyDescent="0.3">
      <c r="B28" t="s">
        <v>111</v>
      </c>
      <c r="C28">
        <v>-528</v>
      </c>
      <c r="D28">
        <v>-673</v>
      </c>
      <c r="E28">
        <v>-749</v>
      </c>
      <c r="F28">
        <v>-914</v>
      </c>
      <c r="G28" s="30">
        <v>-1185</v>
      </c>
      <c r="H28" s="30">
        <v>-1022</v>
      </c>
      <c r="I28" s="30">
        <v>-2090</v>
      </c>
      <c r="J28">
        <v>-466</v>
      </c>
      <c r="K28" s="30">
        <v>-1741</v>
      </c>
      <c r="L28" s="30">
        <v>-1909</v>
      </c>
      <c r="M28" s="30">
        <v>-2532</v>
      </c>
      <c r="N28" s="30">
        <v>-3108</v>
      </c>
    </row>
    <row r="29" spans="2:14" x14ac:dyDescent="0.3">
      <c r="B29" t="s">
        <v>112</v>
      </c>
      <c r="C29">
        <v>0</v>
      </c>
      <c r="D29">
        <v>0</v>
      </c>
      <c r="E29">
        <v>0</v>
      </c>
      <c r="F29">
        <v>0</v>
      </c>
      <c r="G29">
        <v>0</v>
      </c>
      <c r="H29">
        <v>-145</v>
      </c>
      <c r="I29">
        <v>-149</v>
      </c>
      <c r="J29">
        <v>-159</v>
      </c>
      <c r="K29">
        <v>-183</v>
      </c>
      <c r="L29">
        <v>-214</v>
      </c>
      <c r="M29">
        <v>-251</v>
      </c>
      <c r="N29">
        <v>-267</v>
      </c>
    </row>
    <row r="30" spans="2:14" x14ac:dyDescent="0.3">
      <c r="B30" t="s">
        <v>113</v>
      </c>
      <c r="C30">
        <v>0</v>
      </c>
      <c r="D30">
        <v>0</v>
      </c>
      <c r="E30">
        <v>66</v>
      </c>
      <c r="F30">
        <v>13</v>
      </c>
      <c r="G30">
        <v>-32</v>
      </c>
      <c r="H30">
        <v>0</v>
      </c>
      <c r="I30">
        <v>-203</v>
      </c>
      <c r="J30">
        <v>0</v>
      </c>
      <c r="K30">
        <v>-75</v>
      </c>
      <c r="L30">
        <v>-36</v>
      </c>
      <c r="M30">
        <v>0</v>
      </c>
      <c r="N30">
        <v>-37</v>
      </c>
    </row>
    <row r="31" spans="2:14" x14ac:dyDescent="0.3">
      <c r="B31" t="s">
        <v>21</v>
      </c>
      <c r="C31">
        <v>194</v>
      </c>
      <c r="D31">
        <v>124</v>
      </c>
      <c r="E31">
        <v>413</v>
      </c>
      <c r="F31">
        <v>-120</v>
      </c>
      <c r="G31">
        <v>-474</v>
      </c>
      <c r="H31">
        <v>473</v>
      </c>
      <c r="I31">
        <v>-462</v>
      </c>
      <c r="J31" s="30">
        <v>2440</v>
      </c>
      <c r="K31" s="30">
        <v>-1069</v>
      </c>
      <c r="L31">
        <v>640</v>
      </c>
      <c r="M31">
        <v>540</v>
      </c>
      <c r="N31">
        <v>-82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275D8"/>
  </sheetPr>
  <dimension ref="A1:G16"/>
  <sheetViews>
    <sheetView zoomScale="120" zoomScaleNormal="150" zoomScalePageLayoutView="150" workbookViewId="0">
      <selection activeCell="F15" sqref="F15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10" customWidth="1"/>
    <col min="6" max="6" width="6.77734375" customWidth="1"/>
  </cols>
  <sheetData>
    <row r="1" spans="1:7" ht="21" x14ac:dyDescent="0.4">
      <c r="A1" s="9"/>
    </row>
    <row r="8" spans="1:7" x14ac:dyDescent="0.3">
      <c r="C8" s="11"/>
    </row>
    <row r="16" spans="1:7" x14ac:dyDescent="0.3">
      <c r="G16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81" zoomScaleNormal="120" zoomScalePageLayoutView="120" workbookViewId="0">
      <pane xSplit="1" ySplit="1" topLeftCell="B48" activePane="bottomRight" state="frozen"/>
      <selection activeCell="C4" sqref="C4"/>
      <selection pane="topRight" activeCell="C4" sqref="C4"/>
      <selection pane="bottomLeft" activeCell="C4" sqref="C4"/>
      <selection pane="bottomRight" activeCell="B65" sqref="B65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33</v>
      </c>
      <c r="E1" s="100" t="str">
        <f>IF(B2&lt;&gt;B3, "A NEW VERSION OF THE WORKSHEET IS AVAILABLE", "")</f>
        <v/>
      </c>
      <c r="F1" s="100"/>
      <c r="G1" s="100"/>
      <c r="H1" s="100"/>
      <c r="I1" s="100"/>
      <c r="J1" s="100"/>
      <c r="K1" s="100"/>
    </row>
    <row r="2" spans="1:11" x14ac:dyDescent="0.3">
      <c r="A2" s="1" t="s">
        <v>31</v>
      </c>
      <c r="B2" s="3">
        <v>2.1</v>
      </c>
      <c r="E2" s="101" t="s">
        <v>22</v>
      </c>
      <c r="F2" s="101"/>
      <c r="G2" s="101"/>
      <c r="H2" s="101"/>
      <c r="I2" s="101"/>
      <c r="J2" s="101"/>
      <c r="K2" s="101"/>
    </row>
    <row r="3" spans="1:11" x14ac:dyDescent="0.3">
      <c r="A3" s="1" t="s">
        <v>32</v>
      </c>
      <c r="B3" s="3">
        <v>2.1</v>
      </c>
    </row>
    <row r="4" spans="1:11" x14ac:dyDescent="0.3">
      <c r="A4" s="1"/>
    </row>
    <row r="5" spans="1:11" x14ac:dyDescent="0.3">
      <c r="A5" s="1" t="s">
        <v>34</v>
      </c>
    </row>
    <row r="6" spans="1:11" x14ac:dyDescent="0.3">
      <c r="A6" s="3" t="s">
        <v>28</v>
      </c>
      <c r="B6" s="3">
        <f>IF(B9&gt;0, B9/B8, 0)</f>
        <v>368.14288114879315</v>
      </c>
    </row>
    <row r="7" spans="1:11" x14ac:dyDescent="0.3">
      <c r="A7" s="3" t="s">
        <v>17</v>
      </c>
      <c r="B7">
        <v>2</v>
      </c>
    </row>
    <row r="8" spans="1:11" x14ac:dyDescent="0.3">
      <c r="A8" s="3" t="s">
        <v>29</v>
      </c>
      <c r="B8">
        <v>654.6</v>
      </c>
    </row>
    <row r="9" spans="1:11" x14ac:dyDescent="0.3">
      <c r="A9" s="3" t="s">
        <v>44</v>
      </c>
      <c r="B9">
        <v>240986.33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5" customFormat="1" x14ac:dyDescent="0.3">
      <c r="A18" s="3" t="s">
        <v>45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5" customFormat="1" x14ac:dyDescent="0.3">
      <c r="A19" s="3" t="s">
        <v>46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5" customFormat="1" x14ac:dyDescent="0.3">
      <c r="A20" s="3" t="s">
        <v>47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5" customFormat="1" x14ac:dyDescent="0.3">
      <c r="A21" s="3" t="s">
        <v>48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5" customFormat="1" x14ac:dyDescent="0.3">
      <c r="A22" s="3" t="s">
        <v>49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5" customFormat="1" x14ac:dyDescent="0.3">
      <c r="A23" s="3" t="s">
        <v>50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5" customFormat="1" x14ac:dyDescent="0.3">
      <c r="A24" s="3" t="s">
        <v>51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5" customFormat="1" x14ac:dyDescent="0.3">
      <c r="A25" s="5" t="s">
        <v>4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5" customFormat="1" x14ac:dyDescent="0.3">
      <c r="A26" s="5" t="s">
        <v>5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5" customFormat="1" x14ac:dyDescent="0.3">
      <c r="A27" s="5" t="s">
        <v>6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5" customFormat="1" x14ac:dyDescent="0.3">
      <c r="A28" s="5" t="s">
        <v>7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5" customFormat="1" x14ac:dyDescent="0.3">
      <c r="A29" s="5" t="s">
        <v>8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5" customFormat="1" x14ac:dyDescent="0.3">
      <c r="A30" s="5" t="s">
        <v>9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5" customFormat="1" x14ac:dyDescent="0.3">
      <c r="A31" s="5" t="s">
        <v>35</v>
      </c>
      <c r="B31">
        <v>67.92</v>
      </c>
      <c r="I31">
        <v>766.02</v>
      </c>
      <c r="J31">
        <v>2301</v>
      </c>
      <c r="K31">
        <v>2208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44926</v>
      </c>
      <c r="C41" s="6">
        <v>45016</v>
      </c>
      <c r="D41" s="6">
        <v>45107</v>
      </c>
      <c r="E41" s="6">
        <v>45199</v>
      </c>
      <c r="F41" s="6">
        <v>45291</v>
      </c>
      <c r="G41" s="6">
        <v>45382</v>
      </c>
      <c r="H41" s="6">
        <v>45473</v>
      </c>
      <c r="I41" s="6">
        <v>45565</v>
      </c>
      <c r="J41" s="6">
        <v>45657</v>
      </c>
      <c r="K41" s="6">
        <v>45747</v>
      </c>
    </row>
    <row r="42" spans="1:11" s="5" customFormat="1" x14ac:dyDescent="0.3">
      <c r="A42" s="5" t="s">
        <v>1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5" customFormat="1" x14ac:dyDescent="0.3">
      <c r="A43" s="5" t="s">
        <v>2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5" customFormat="1" x14ac:dyDescent="0.3">
      <c r="A44" s="5" t="s">
        <v>4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5" customFormat="1" x14ac:dyDescent="0.3">
      <c r="A45" s="5" t="s">
        <v>5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5" customFormat="1" x14ac:dyDescent="0.3">
      <c r="A46" s="5" t="s">
        <v>6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5" customFormat="1" x14ac:dyDescent="0.3">
      <c r="A47" s="5" t="s">
        <v>7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5" customFormat="1" x14ac:dyDescent="0.3">
      <c r="A48" s="5" t="s">
        <v>8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5" customFormat="1" x14ac:dyDescent="0.3">
      <c r="A49" s="5" t="s">
        <v>9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">
      <c r="A50" s="5" t="s">
        <v>3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5" t="s">
        <v>12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5" t="s">
        <v>36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5" t="s">
        <v>37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13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5" t="s">
        <v>14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5" t="s">
        <v>15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5" t="s">
        <v>16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5" t="s">
        <v>38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13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5" customFormat="1" x14ac:dyDescent="0.3">
      <c r="A67" s="5" t="s">
        <v>43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5" t="s">
        <v>30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3" t="s">
        <v>52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3" t="s">
        <v>39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3" t="s">
        <v>40</v>
      </c>
    </row>
    <row r="72" spans="1:11" x14ac:dyDescent="0.3">
      <c r="A72" s="3" t="s">
        <v>53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5" t="s">
        <v>163</v>
      </c>
      <c r="B74" s="3">
        <f>B65-SUM(B67:B69)</f>
        <v>29579.359999999986</v>
      </c>
      <c r="C74" s="3">
        <f t="shared" ref="C74:K74" si="0">C65-SUM(C67:C69)</f>
        <v>37360.780000000013</v>
      </c>
      <c r="D74" s="3">
        <f t="shared" si="0"/>
        <v>48286.860000000015</v>
      </c>
      <c r="E74" s="3">
        <f t="shared" si="0"/>
        <v>56155.739999999991</v>
      </c>
      <c r="F74" s="3">
        <f t="shared" si="0"/>
        <v>58784.94</v>
      </c>
      <c r="G74" s="3">
        <f t="shared" si="0"/>
        <v>61717.959999999992</v>
      </c>
      <c r="H74" s="3">
        <f t="shared" si="0"/>
        <v>62223.770000000019</v>
      </c>
      <c r="I74" s="3">
        <f t="shared" si="0"/>
        <v>68432.090000000011</v>
      </c>
      <c r="J74" s="3">
        <f t="shared" si="0"/>
        <v>79020</v>
      </c>
      <c r="K74" s="3">
        <f t="shared" si="0"/>
        <v>58463</v>
      </c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5" customFormat="1" x14ac:dyDescent="0.3">
      <c r="A83" s="5" t="s">
        <v>19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5" customFormat="1" x14ac:dyDescent="0.3">
      <c r="A84" s="5" t="s">
        <v>20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5" t="s">
        <v>21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42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">
      <c r="A92" s="1" t="s">
        <v>41</v>
      </c>
    </row>
    <row r="93" spans="1:11" x14ac:dyDescent="0.3">
      <c r="A93" s="3" t="s">
        <v>54</v>
      </c>
      <c r="B93" s="13">
        <v>288.72000000000003</v>
      </c>
      <c r="C93" s="13">
        <v>288.73</v>
      </c>
      <c r="D93" s="13">
        <v>288.73</v>
      </c>
      <c r="E93" s="13">
        <v>288.73</v>
      </c>
      <c r="F93" s="13">
        <v>308.89999999999998</v>
      </c>
      <c r="G93" s="13">
        <v>332.03</v>
      </c>
      <c r="H93" s="13">
        <v>332.07</v>
      </c>
      <c r="I93" s="13">
        <v>332.13</v>
      </c>
      <c r="J93" s="13">
        <v>332.37</v>
      </c>
      <c r="K93" s="13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21FA-9514-42F5-96E6-3CAD64FB4A99}">
  <dimension ref="A1:M38"/>
  <sheetViews>
    <sheetView workbookViewId="0">
      <selection activeCell="P15" sqref="P15"/>
    </sheetView>
  </sheetViews>
  <sheetFormatPr defaultRowHeight="14.4" x14ac:dyDescent="0.3"/>
  <sheetData>
    <row r="1" spans="1:13" x14ac:dyDescent="0.3">
      <c r="B1" s="51">
        <v>41699</v>
      </c>
      <c r="C1" s="51">
        <v>42064</v>
      </c>
      <c r="D1" s="51">
        <v>42430</v>
      </c>
      <c r="E1" s="51">
        <v>42795</v>
      </c>
      <c r="F1" s="51">
        <v>43160</v>
      </c>
      <c r="G1" s="51">
        <v>43525</v>
      </c>
      <c r="H1" s="51">
        <v>43891</v>
      </c>
      <c r="I1" s="51">
        <v>44256</v>
      </c>
      <c r="J1" s="51">
        <v>44621</v>
      </c>
      <c r="K1" s="51">
        <v>44986</v>
      </c>
      <c r="L1" s="51">
        <v>45352</v>
      </c>
      <c r="M1" s="51">
        <v>45717</v>
      </c>
    </row>
    <row r="2" spans="1:13" x14ac:dyDescent="0.3">
      <c r="A2" s="2" t="s">
        <v>164</v>
      </c>
      <c r="B2" s="52">
        <v>96</v>
      </c>
      <c r="C2" s="52">
        <v>96</v>
      </c>
      <c r="D2" s="52">
        <v>96</v>
      </c>
      <c r="E2" s="52">
        <v>96</v>
      </c>
      <c r="F2" s="52">
        <v>96</v>
      </c>
      <c r="G2" s="52">
        <v>96</v>
      </c>
      <c r="H2" s="52">
        <v>96</v>
      </c>
      <c r="I2" s="52">
        <v>96</v>
      </c>
      <c r="J2" s="52">
        <v>96</v>
      </c>
      <c r="K2" s="52">
        <v>96</v>
      </c>
      <c r="L2" s="52">
        <v>96</v>
      </c>
      <c r="M2" s="52">
        <v>96</v>
      </c>
    </row>
    <row r="3" spans="1:13" x14ac:dyDescent="0.3">
      <c r="A3" s="2" t="s">
        <v>12</v>
      </c>
      <c r="B3" s="52">
        <v>3943</v>
      </c>
      <c r="C3" s="52">
        <v>4646</v>
      </c>
      <c r="D3" s="52">
        <v>6429</v>
      </c>
      <c r="E3" s="52">
        <v>7508</v>
      </c>
      <c r="F3" s="52">
        <v>8314</v>
      </c>
      <c r="G3" s="52">
        <v>9375</v>
      </c>
      <c r="H3" s="52">
        <v>10034</v>
      </c>
      <c r="I3" s="52">
        <v>12710</v>
      </c>
      <c r="J3" s="52">
        <v>13716</v>
      </c>
      <c r="K3" s="52">
        <v>15896</v>
      </c>
      <c r="L3" s="52">
        <v>18632</v>
      </c>
      <c r="M3" s="52">
        <v>19304</v>
      </c>
    </row>
    <row r="4" spans="1:13" x14ac:dyDescent="0.3">
      <c r="A4" s="2" t="s">
        <v>165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x14ac:dyDescent="0.3">
      <c r="A5" t="s">
        <v>166</v>
      </c>
      <c r="B5" s="52">
        <v>41</v>
      </c>
      <c r="C5" s="52">
        <v>78</v>
      </c>
      <c r="D5" s="52">
        <v>73</v>
      </c>
      <c r="E5" s="52">
        <v>41</v>
      </c>
      <c r="F5" s="52">
        <v>28</v>
      </c>
      <c r="G5" s="52">
        <v>19</v>
      </c>
      <c r="H5" s="52">
        <v>19</v>
      </c>
      <c r="I5" s="52">
        <v>15</v>
      </c>
      <c r="J5" s="52">
        <v>45</v>
      </c>
      <c r="K5" s="52">
        <v>76</v>
      </c>
      <c r="L5" s="52">
        <v>54</v>
      </c>
      <c r="M5" s="52">
        <v>260</v>
      </c>
    </row>
    <row r="6" spans="1:13" x14ac:dyDescent="0.3">
      <c r="A6" t="s">
        <v>167</v>
      </c>
      <c r="B6" s="52">
        <v>199</v>
      </c>
      <c r="C6" s="52">
        <v>332</v>
      </c>
      <c r="D6" s="52">
        <v>231</v>
      </c>
      <c r="E6" s="52">
        <v>504</v>
      </c>
      <c r="F6" s="52">
        <v>492</v>
      </c>
      <c r="G6" s="52">
        <v>597</v>
      </c>
      <c r="H6" s="52">
        <v>321</v>
      </c>
      <c r="I6" s="52">
        <v>334</v>
      </c>
      <c r="J6" s="52">
        <v>731</v>
      </c>
      <c r="K6" s="52">
        <v>896</v>
      </c>
      <c r="L6" s="52">
        <v>1053</v>
      </c>
      <c r="M6" s="52">
        <v>604</v>
      </c>
    </row>
    <row r="7" spans="1:13" x14ac:dyDescent="0.3">
      <c r="A7" t="s">
        <v>168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693</v>
      </c>
      <c r="H7" s="52">
        <v>764</v>
      </c>
      <c r="I7" s="52">
        <v>745</v>
      </c>
      <c r="J7" s="52">
        <v>811</v>
      </c>
      <c r="K7" s="52">
        <v>960</v>
      </c>
      <c r="L7" s="52">
        <v>1367</v>
      </c>
      <c r="M7" s="52">
        <v>1427</v>
      </c>
    </row>
    <row r="8" spans="1:13" x14ac:dyDescent="0.3">
      <c r="A8" t="s">
        <v>169</v>
      </c>
      <c r="B8" s="52">
        <v>9</v>
      </c>
      <c r="C8" s="52">
        <v>8</v>
      </c>
      <c r="D8" s="52">
        <v>20</v>
      </c>
      <c r="E8" s="52">
        <v>15</v>
      </c>
      <c r="F8" s="52">
        <v>13</v>
      </c>
      <c r="G8" s="52">
        <v>11</v>
      </c>
      <c r="H8" s="52">
        <v>15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</row>
    <row r="9" spans="1:13" x14ac:dyDescent="0.3">
      <c r="A9" t="s">
        <v>170</v>
      </c>
      <c r="B9" s="52">
        <v>3787</v>
      </c>
      <c r="C9" s="52">
        <v>3754</v>
      </c>
      <c r="D9" s="52">
        <v>3711</v>
      </c>
      <c r="E9" s="52">
        <v>4241</v>
      </c>
      <c r="F9" s="52">
        <v>4820</v>
      </c>
      <c r="G9" s="52">
        <v>5459</v>
      </c>
      <c r="H9" s="52">
        <v>4889</v>
      </c>
      <c r="I9" s="52">
        <v>6456</v>
      </c>
      <c r="J9" s="52">
        <v>7560</v>
      </c>
      <c r="K9" s="52">
        <v>7854</v>
      </c>
      <c r="L9" s="52">
        <v>8698</v>
      </c>
      <c r="M9" s="52">
        <v>8665</v>
      </c>
    </row>
    <row r="10" spans="1:13" x14ac:dyDescent="0.3">
      <c r="A10" t="s">
        <v>171</v>
      </c>
      <c r="B10" s="52">
        <v>246</v>
      </c>
      <c r="C10" s="52">
        <v>264</v>
      </c>
      <c r="D10" s="52">
        <v>384</v>
      </c>
      <c r="E10" s="52">
        <v>375</v>
      </c>
      <c r="F10" s="52">
        <v>328</v>
      </c>
      <c r="G10" s="52">
        <v>361</v>
      </c>
      <c r="H10" s="52">
        <v>404</v>
      </c>
      <c r="I10" s="52">
        <v>423</v>
      </c>
      <c r="J10" s="52">
        <v>388</v>
      </c>
      <c r="K10" s="52">
        <v>454</v>
      </c>
      <c r="L10" s="52">
        <v>695</v>
      </c>
      <c r="M10" s="52">
        <v>659</v>
      </c>
    </row>
    <row r="11" spans="1:13" x14ac:dyDescent="0.3">
      <c r="A11" t="s">
        <v>172</v>
      </c>
      <c r="B11" s="52">
        <v>1746</v>
      </c>
      <c r="C11" s="52">
        <v>1549</v>
      </c>
      <c r="D11" s="52">
        <v>1565</v>
      </c>
      <c r="E11" s="52">
        <v>1923</v>
      </c>
      <c r="F11" s="52">
        <v>2160</v>
      </c>
      <c r="G11" s="52">
        <v>2394</v>
      </c>
      <c r="H11" s="52">
        <v>2137</v>
      </c>
      <c r="I11" s="52">
        <v>3379</v>
      </c>
      <c r="J11" s="52">
        <v>4164</v>
      </c>
      <c r="K11" s="52">
        <v>3635</v>
      </c>
      <c r="L11" s="52">
        <v>3831</v>
      </c>
      <c r="M11" s="52">
        <v>3848</v>
      </c>
    </row>
    <row r="12" spans="1:13" x14ac:dyDescent="0.3">
      <c r="A12" t="s">
        <v>173</v>
      </c>
      <c r="B12" s="52">
        <v>0</v>
      </c>
      <c r="C12" s="52">
        <v>5</v>
      </c>
      <c r="D12" s="52">
        <v>12</v>
      </c>
      <c r="E12" s="52">
        <v>17</v>
      </c>
      <c r="F12" s="52">
        <v>16</v>
      </c>
      <c r="G12" s="52">
        <v>13</v>
      </c>
      <c r="H12" s="52">
        <v>29</v>
      </c>
      <c r="I12" s="52">
        <v>41</v>
      </c>
      <c r="J12" s="52">
        <v>76</v>
      </c>
      <c r="K12" s="52">
        <v>108</v>
      </c>
      <c r="L12" s="52">
        <v>154</v>
      </c>
      <c r="M12" s="52">
        <v>173</v>
      </c>
    </row>
    <row r="13" spans="1:13" x14ac:dyDescent="0.3">
      <c r="A13" t="s">
        <v>174</v>
      </c>
      <c r="B13" s="53">
        <v>1795</v>
      </c>
      <c r="C13" s="53">
        <v>1937</v>
      </c>
      <c r="D13" s="53">
        <v>1750</v>
      </c>
      <c r="E13" s="53">
        <v>1925</v>
      </c>
      <c r="F13" s="53">
        <v>2316</v>
      </c>
      <c r="G13" s="53">
        <v>2690</v>
      </c>
      <c r="H13" s="53">
        <v>2320</v>
      </c>
      <c r="I13" s="53">
        <v>2613</v>
      </c>
      <c r="J13" s="53">
        <v>2932</v>
      </c>
      <c r="K13" s="53">
        <v>3657</v>
      </c>
      <c r="L13" s="53">
        <v>4017</v>
      </c>
      <c r="M13" s="53">
        <v>3985</v>
      </c>
    </row>
    <row r="14" spans="1:13" x14ac:dyDescent="0.3">
      <c r="A14" s="54" t="s">
        <v>162</v>
      </c>
      <c r="B14" s="55">
        <v>8075</v>
      </c>
      <c r="C14" s="55">
        <v>8914</v>
      </c>
      <c r="D14" s="55">
        <v>10559</v>
      </c>
      <c r="E14" s="55">
        <v>12405</v>
      </c>
      <c r="F14" s="55">
        <v>13763</v>
      </c>
      <c r="G14" s="55">
        <v>16249</v>
      </c>
      <c r="H14" s="55">
        <v>16138</v>
      </c>
      <c r="I14" s="55">
        <v>20355</v>
      </c>
      <c r="J14" s="55">
        <v>22958</v>
      </c>
      <c r="K14" s="55">
        <v>25779</v>
      </c>
      <c r="L14" s="55">
        <v>29901</v>
      </c>
      <c r="M14" s="55">
        <v>30355</v>
      </c>
    </row>
    <row r="15" spans="1:13" x14ac:dyDescent="0.3">
      <c r="A15" s="2" t="s">
        <v>175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3" x14ac:dyDescent="0.3">
      <c r="A16" t="s">
        <v>176</v>
      </c>
      <c r="B16" s="52">
        <v>247</v>
      </c>
      <c r="C16" s="52">
        <v>251</v>
      </c>
      <c r="D16" s="52">
        <v>429</v>
      </c>
      <c r="E16" s="52">
        <v>408</v>
      </c>
      <c r="F16" s="52">
        <v>586</v>
      </c>
      <c r="G16" s="52">
        <v>605</v>
      </c>
      <c r="H16" s="52">
        <v>640</v>
      </c>
      <c r="I16" s="52">
        <v>644</v>
      </c>
      <c r="J16" s="52">
        <v>644</v>
      </c>
      <c r="K16" s="52">
        <v>804</v>
      </c>
      <c r="L16" s="52">
        <v>1126</v>
      </c>
      <c r="M16" s="52">
        <v>1050</v>
      </c>
    </row>
    <row r="17" spans="1:13" x14ac:dyDescent="0.3">
      <c r="A17" t="s">
        <v>177</v>
      </c>
      <c r="B17" s="52">
        <v>931</v>
      </c>
      <c r="C17" s="52">
        <v>962</v>
      </c>
      <c r="D17" s="52">
        <v>923</v>
      </c>
      <c r="E17" s="52">
        <v>931</v>
      </c>
      <c r="F17" s="52">
        <v>957</v>
      </c>
      <c r="G17" s="52">
        <v>2402</v>
      </c>
      <c r="H17" s="52">
        <v>2257</v>
      </c>
      <c r="I17" s="52">
        <v>2249</v>
      </c>
      <c r="J17" s="52">
        <v>2325</v>
      </c>
      <c r="K17" s="52">
        <v>2883</v>
      </c>
      <c r="L17" s="52">
        <v>3390</v>
      </c>
      <c r="M17" s="52">
        <v>4136</v>
      </c>
    </row>
    <row r="18" spans="1:13" x14ac:dyDescent="0.3">
      <c r="A18" t="s">
        <v>178</v>
      </c>
      <c r="B18" s="52">
        <v>2054</v>
      </c>
      <c r="C18" s="52">
        <v>2132</v>
      </c>
      <c r="D18" s="52">
        <v>1793</v>
      </c>
      <c r="E18" s="52">
        <v>1980</v>
      </c>
      <c r="F18" s="52">
        <v>2157</v>
      </c>
      <c r="G18" s="52">
        <v>4006</v>
      </c>
      <c r="H18" s="52">
        <v>4208</v>
      </c>
      <c r="I18" s="52">
        <v>4340</v>
      </c>
      <c r="J18" s="52">
        <v>4531</v>
      </c>
      <c r="K18" s="52">
        <v>4825</v>
      </c>
      <c r="L18" s="52">
        <v>5422</v>
      </c>
      <c r="M18" s="52">
        <v>7576</v>
      </c>
    </row>
    <row r="19" spans="1:13" x14ac:dyDescent="0.3">
      <c r="A19" t="s">
        <v>179</v>
      </c>
      <c r="B19" s="52">
        <v>155</v>
      </c>
      <c r="C19" s="52">
        <v>171</v>
      </c>
      <c r="D19" s="52">
        <v>97</v>
      </c>
      <c r="E19" s="52">
        <v>119</v>
      </c>
      <c r="F19" s="52">
        <v>200</v>
      </c>
      <c r="G19" s="52">
        <v>221</v>
      </c>
      <c r="H19" s="52">
        <v>241</v>
      </c>
      <c r="I19" s="52">
        <v>243</v>
      </c>
      <c r="J19" s="52">
        <v>253</v>
      </c>
      <c r="K19" s="52">
        <v>270</v>
      </c>
      <c r="L19" s="52">
        <v>298</v>
      </c>
      <c r="M19" s="52">
        <v>325</v>
      </c>
    </row>
    <row r="20" spans="1:13" x14ac:dyDescent="0.3">
      <c r="A20" t="s">
        <v>180</v>
      </c>
      <c r="B20" s="52">
        <v>71</v>
      </c>
      <c r="C20" s="52">
        <v>83</v>
      </c>
      <c r="D20" s="52">
        <v>49</v>
      </c>
      <c r="E20" s="52">
        <v>59</v>
      </c>
      <c r="F20" s="52">
        <v>72</v>
      </c>
      <c r="G20" s="52">
        <v>88</v>
      </c>
      <c r="H20" s="52">
        <v>94</v>
      </c>
      <c r="I20" s="52">
        <v>99</v>
      </c>
      <c r="J20" s="52">
        <v>113</v>
      </c>
      <c r="K20" s="52">
        <v>146</v>
      </c>
      <c r="L20" s="52">
        <v>175</v>
      </c>
      <c r="M20" s="52">
        <v>203</v>
      </c>
    </row>
    <row r="21" spans="1:13" x14ac:dyDescent="0.3">
      <c r="A21" t="s">
        <v>181</v>
      </c>
      <c r="B21" s="52">
        <v>14</v>
      </c>
      <c r="C21" s="52">
        <v>18</v>
      </c>
      <c r="D21" s="52">
        <v>11</v>
      </c>
      <c r="E21" s="52">
        <v>14</v>
      </c>
      <c r="F21" s="52">
        <v>27</v>
      </c>
      <c r="G21" s="52">
        <v>47</v>
      </c>
      <c r="H21" s="52">
        <v>43</v>
      </c>
      <c r="I21" s="52">
        <v>38</v>
      </c>
      <c r="J21" s="52">
        <v>32</v>
      </c>
      <c r="K21" s="52">
        <v>36</v>
      </c>
      <c r="L21" s="52">
        <v>40</v>
      </c>
      <c r="M21" s="52">
        <v>39</v>
      </c>
    </row>
    <row r="22" spans="1:13" x14ac:dyDescent="0.3">
      <c r="A22" t="s">
        <v>182</v>
      </c>
      <c r="B22" s="52">
        <v>203</v>
      </c>
      <c r="C22" s="52">
        <v>351</v>
      </c>
      <c r="D22" s="52">
        <v>339</v>
      </c>
      <c r="E22" s="52">
        <v>276</v>
      </c>
      <c r="F22" s="52">
        <v>468</v>
      </c>
      <c r="G22" s="52">
        <v>512</v>
      </c>
      <c r="H22" s="52">
        <v>505</v>
      </c>
      <c r="I22" s="52">
        <v>476</v>
      </c>
      <c r="J22" s="52">
        <v>345</v>
      </c>
      <c r="K22" s="52">
        <v>422</v>
      </c>
      <c r="L22" s="52">
        <v>850</v>
      </c>
      <c r="M22" s="52">
        <v>827</v>
      </c>
    </row>
    <row r="23" spans="1:13" x14ac:dyDescent="0.3">
      <c r="A23" t="s">
        <v>183</v>
      </c>
      <c r="B23" s="52">
        <v>128</v>
      </c>
      <c r="C23" s="52">
        <v>145</v>
      </c>
      <c r="D23" s="52">
        <v>103</v>
      </c>
      <c r="E23" s="52">
        <v>128</v>
      </c>
      <c r="F23" s="52">
        <v>238</v>
      </c>
      <c r="G23" s="52">
        <v>261</v>
      </c>
      <c r="H23" s="52">
        <v>293</v>
      </c>
      <c r="I23" s="52">
        <v>302</v>
      </c>
      <c r="J23" s="52">
        <v>294</v>
      </c>
      <c r="K23" s="52">
        <v>289</v>
      </c>
      <c r="L23" s="52">
        <v>321</v>
      </c>
      <c r="M23" s="52">
        <v>328</v>
      </c>
    </row>
    <row r="24" spans="1:13" x14ac:dyDescent="0.3">
      <c r="A24" s="2" t="s">
        <v>184</v>
      </c>
      <c r="B24" s="57">
        <v>3804</v>
      </c>
      <c r="C24" s="57">
        <v>4112</v>
      </c>
      <c r="D24" s="57">
        <v>3744</v>
      </c>
      <c r="E24" s="57">
        <v>3914</v>
      </c>
      <c r="F24" s="57">
        <v>4705</v>
      </c>
      <c r="G24" s="57">
        <v>8141</v>
      </c>
      <c r="H24" s="57">
        <v>8282</v>
      </c>
      <c r="I24" s="57">
        <v>8392</v>
      </c>
      <c r="J24" s="57">
        <v>8538</v>
      </c>
      <c r="K24" s="57">
        <v>9676</v>
      </c>
      <c r="L24" s="57">
        <v>11622</v>
      </c>
      <c r="M24" s="57">
        <v>14484</v>
      </c>
    </row>
    <row r="25" spans="1:13" x14ac:dyDescent="0.3">
      <c r="A25" s="2" t="s">
        <v>185</v>
      </c>
      <c r="B25" s="53">
        <v>1242</v>
      </c>
      <c r="C25" s="53">
        <v>1452</v>
      </c>
      <c r="D25" s="53">
        <v>327</v>
      </c>
      <c r="E25" s="53">
        <v>610</v>
      </c>
      <c r="F25" s="53">
        <v>973</v>
      </c>
      <c r="G25" s="53">
        <v>1644</v>
      </c>
      <c r="H25" s="53">
        <v>2010</v>
      </c>
      <c r="I25" s="53">
        <v>2533</v>
      </c>
      <c r="J25" s="53">
        <v>3019</v>
      </c>
      <c r="K25" s="53">
        <v>3905</v>
      </c>
      <c r="L25" s="53">
        <v>4475</v>
      </c>
      <c r="M25" s="53">
        <v>5264</v>
      </c>
    </row>
    <row r="26" spans="1:13" x14ac:dyDescent="0.3">
      <c r="A26" s="58" t="s">
        <v>14</v>
      </c>
      <c r="B26" s="59">
        <f>B24-B25</f>
        <v>2562</v>
      </c>
      <c r="C26" s="59">
        <f t="shared" ref="C26:M26" si="0">C24-C25</f>
        <v>2660</v>
      </c>
      <c r="D26" s="59">
        <f t="shared" si="0"/>
        <v>3417</v>
      </c>
      <c r="E26" s="59">
        <f t="shared" si="0"/>
        <v>3304</v>
      </c>
      <c r="F26" s="59">
        <f t="shared" si="0"/>
        <v>3732</v>
      </c>
      <c r="G26" s="59">
        <f t="shared" si="0"/>
        <v>6497</v>
      </c>
      <c r="H26" s="59">
        <f t="shared" si="0"/>
        <v>6272</v>
      </c>
      <c r="I26" s="59">
        <f t="shared" si="0"/>
        <v>5859</v>
      </c>
      <c r="J26" s="59">
        <f t="shared" si="0"/>
        <v>5519</v>
      </c>
      <c r="K26" s="59">
        <f t="shared" si="0"/>
        <v>5771</v>
      </c>
      <c r="L26" s="59">
        <f t="shared" si="0"/>
        <v>7147</v>
      </c>
      <c r="M26" s="59">
        <f t="shared" si="0"/>
        <v>9220</v>
      </c>
    </row>
    <row r="27" spans="1:13" x14ac:dyDescent="0.3">
      <c r="A27" s="2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x14ac:dyDescent="0.3">
      <c r="A28" s="2" t="s">
        <v>186</v>
      </c>
      <c r="B28" s="52">
        <v>72</v>
      </c>
      <c r="C28" s="52">
        <v>196</v>
      </c>
      <c r="D28" s="52">
        <v>107</v>
      </c>
      <c r="E28" s="52">
        <v>258</v>
      </c>
      <c r="F28" s="52">
        <v>1405</v>
      </c>
      <c r="G28" s="52">
        <v>210</v>
      </c>
      <c r="H28" s="52">
        <v>140</v>
      </c>
      <c r="I28" s="52">
        <v>183</v>
      </c>
      <c r="J28" s="52">
        <v>426</v>
      </c>
      <c r="K28" s="52">
        <v>1020</v>
      </c>
      <c r="L28" s="52">
        <v>2698</v>
      </c>
      <c r="M28" s="52">
        <v>1254</v>
      </c>
    </row>
    <row r="29" spans="1:13" x14ac:dyDescent="0.3">
      <c r="A29" s="2" t="s">
        <v>16</v>
      </c>
      <c r="B29" s="52">
        <v>1424</v>
      </c>
      <c r="C29" s="52">
        <v>1588</v>
      </c>
      <c r="D29" s="52">
        <v>2712</v>
      </c>
      <c r="E29" s="52">
        <v>2652</v>
      </c>
      <c r="F29" s="52">
        <v>2141</v>
      </c>
      <c r="G29" s="52">
        <v>2569</v>
      </c>
      <c r="H29" s="52">
        <v>2019</v>
      </c>
      <c r="I29" s="52">
        <v>4737</v>
      </c>
      <c r="J29" s="52">
        <v>3248</v>
      </c>
      <c r="K29" s="52">
        <v>4262</v>
      </c>
      <c r="L29" s="52">
        <v>4588</v>
      </c>
      <c r="M29" s="52">
        <v>4725</v>
      </c>
    </row>
    <row r="30" spans="1:13" x14ac:dyDescent="0.3">
      <c r="A30" s="2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x14ac:dyDescent="0.3">
      <c r="A31" s="2" t="s">
        <v>187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x14ac:dyDescent="0.3">
      <c r="A32" t="s">
        <v>188</v>
      </c>
      <c r="B32" s="52">
        <v>2070</v>
      </c>
      <c r="C32" s="52">
        <v>2259</v>
      </c>
      <c r="D32" s="52">
        <v>1998</v>
      </c>
      <c r="E32" s="52">
        <v>2627</v>
      </c>
      <c r="F32" s="52">
        <v>2658</v>
      </c>
      <c r="G32" s="52">
        <v>3150</v>
      </c>
      <c r="H32" s="52">
        <v>3390</v>
      </c>
      <c r="I32" s="52">
        <v>3799</v>
      </c>
      <c r="J32" s="52">
        <v>6153</v>
      </c>
      <c r="K32" s="52">
        <v>6211</v>
      </c>
      <c r="L32" s="52">
        <v>5923</v>
      </c>
      <c r="M32" s="52">
        <v>6719</v>
      </c>
    </row>
    <row r="33" spans="1:13" x14ac:dyDescent="0.3">
      <c r="A33" t="s">
        <v>189</v>
      </c>
      <c r="B33" s="52">
        <v>1110</v>
      </c>
      <c r="C33" s="52">
        <v>1182</v>
      </c>
      <c r="D33" s="52">
        <v>1187</v>
      </c>
      <c r="E33" s="52">
        <v>1447</v>
      </c>
      <c r="F33" s="52">
        <v>1731</v>
      </c>
      <c r="G33" s="52">
        <v>1907</v>
      </c>
      <c r="H33" s="52">
        <v>1795</v>
      </c>
      <c r="I33" s="52">
        <v>2602</v>
      </c>
      <c r="J33" s="52">
        <v>3871</v>
      </c>
      <c r="K33" s="52">
        <v>4637</v>
      </c>
      <c r="L33" s="52">
        <v>4889</v>
      </c>
      <c r="M33" s="52">
        <v>4314</v>
      </c>
    </row>
    <row r="34" spans="1:13" x14ac:dyDescent="0.3">
      <c r="A34" t="s">
        <v>190</v>
      </c>
      <c r="B34" s="52">
        <v>-50</v>
      </c>
      <c r="C34" s="52">
        <v>-59</v>
      </c>
      <c r="D34" s="52">
        <v>-67</v>
      </c>
      <c r="E34" s="52">
        <v>-79</v>
      </c>
      <c r="F34" s="52">
        <v>-89</v>
      </c>
      <c r="G34" s="52">
        <v>-121</v>
      </c>
      <c r="H34" s="52">
        <v>-155</v>
      </c>
      <c r="I34" s="52">
        <v>-185</v>
      </c>
      <c r="J34" s="52">
        <v>-241</v>
      </c>
      <c r="K34" s="52">
        <v>-305</v>
      </c>
      <c r="L34" s="52">
        <v>-422</v>
      </c>
      <c r="M34" s="52">
        <v>-663</v>
      </c>
    </row>
    <row r="35" spans="1:13" x14ac:dyDescent="0.3">
      <c r="A35" t="s">
        <v>191</v>
      </c>
      <c r="B35" s="52">
        <v>229</v>
      </c>
      <c r="C35" s="52">
        <v>204</v>
      </c>
      <c r="D35" s="52">
        <v>424</v>
      </c>
      <c r="E35" s="52">
        <v>801</v>
      </c>
      <c r="F35" s="52">
        <v>405</v>
      </c>
      <c r="G35" s="52">
        <v>445</v>
      </c>
      <c r="H35" s="52">
        <v>783</v>
      </c>
      <c r="I35" s="52">
        <v>611</v>
      </c>
      <c r="J35" s="52">
        <v>864</v>
      </c>
      <c r="K35" s="52">
        <v>844</v>
      </c>
      <c r="L35" s="52">
        <v>1084</v>
      </c>
      <c r="M35" s="52">
        <v>782</v>
      </c>
    </row>
    <row r="36" spans="1:13" x14ac:dyDescent="0.3">
      <c r="A36" t="s">
        <v>192</v>
      </c>
      <c r="B36" s="52">
        <v>7</v>
      </c>
      <c r="C36" s="52">
        <v>8</v>
      </c>
      <c r="D36" s="52">
        <v>9</v>
      </c>
      <c r="E36" s="52">
        <v>14</v>
      </c>
      <c r="F36" s="52">
        <v>13</v>
      </c>
      <c r="G36" s="52">
        <v>16</v>
      </c>
      <c r="H36" s="52">
        <v>12</v>
      </c>
      <c r="I36" s="52">
        <v>11</v>
      </c>
      <c r="J36" s="52">
        <v>8</v>
      </c>
      <c r="K36" s="52">
        <v>12</v>
      </c>
      <c r="L36" s="52">
        <v>17</v>
      </c>
      <c r="M36" s="52">
        <v>22</v>
      </c>
    </row>
    <row r="37" spans="1:13" x14ac:dyDescent="0.3">
      <c r="A37" t="s">
        <v>193</v>
      </c>
      <c r="B37" s="60">
        <v>603</v>
      </c>
      <c r="C37" s="60">
        <v>817</v>
      </c>
      <c r="D37" s="60">
        <v>705</v>
      </c>
      <c r="E37" s="60">
        <v>1303</v>
      </c>
      <c r="F37" s="60">
        <v>1678</v>
      </c>
      <c r="G37" s="60">
        <v>1456</v>
      </c>
      <c r="H37" s="60">
        <v>1727</v>
      </c>
      <c r="I37" s="60">
        <v>2555</v>
      </c>
      <c r="J37" s="60">
        <v>2869</v>
      </c>
      <c r="K37" s="60">
        <v>3024</v>
      </c>
      <c r="L37" s="60">
        <v>3555</v>
      </c>
      <c r="M37" s="60">
        <v>3319</v>
      </c>
    </row>
    <row r="38" spans="1:13" x14ac:dyDescent="0.3">
      <c r="A38" s="54" t="s">
        <v>79</v>
      </c>
      <c r="B38" s="55">
        <v>8075</v>
      </c>
      <c r="C38" s="55">
        <v>8914</v>
      </c>
      <c r="D38" s="55">
        <v>10559</v>
      </c>
      <c r="E38" s="55">
        <v>12405</v>
      </c>
      <c r="F38" s="55">
        <v>13763</v>
      </c>
      <c r="G38" s="55">
        <v>16249</v>
      </c>
      <c r="H38" s="55">
        <v>16138</v>
      </c>
      <c r="I38" s="55">
        <v>20355</v>
      </c>
      <c r="J38" s="55">
        <v>22958</v>
      </c>
      <c r="K38" s="55">
        <v>25779</v>
      </c>
      <c r="L38" s="55">
        <v>29901</v>
      </c>
      <c r="M38" s="55">
        <v>30355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FE5A-1E0B-47C5-BE26-BEE97B2F6742}">
  <dimension ref="B2:N34"/>
  <sheetViews>
    <sheetView workbookViewId="0">
      <selection activeCell="B35" sqref="B35"/>
    </sheetView>
  </sheetViews>
  <sheetFormatPr defaultRowHeight="14.4" x14ac:dyDescent="0.3"/>
  <cols>
    <col min="2" max="2" width="43" customWidth="1"/>
  </cols>
  <sheetData>
    <row r="2" spans="2:14" x14ac:dyDescent="0.3">
      <c r="B2" s="29">
        <v>41699</v>
      </c>
      <c r="C2" s="29">
        <v>42064</v>
      </c>
      <c r="D2" s="29">
        <v>42430</v>
      </c>
      <c r="E2" s="29">
        <v>42795</v>
      </c>
      <c r="F2" s="29">
        <v>43160</v>
      </c>
      <c r="G2" s="29">
        <v>43525</v>
      </c>
      <c r="H2" s="29">
        <v>43891</v>
      </c>
      <c r="I2" s="29">
        <v>44256</v>
      </c>
      <c r="J2" s="29">
        <v>44621</v>
      </c>
      <c r="K2" s="29">
        <v>44986</v>
      </c>
      <c r="L2" s="29">
        <v>45352</v>
      </c>
      <c r="M2" s="29">
        <v>45717</v>
      </c>
    </row>
    <row r="3" spans="2:14" x14ac:dyDescent="0.3">
      <c r="B3" t="s">
        <v>85</v>
      </c>
      <c r="C3" s="30">
        <v>2463</v>
      </c>
      <c r="D3" s="30">
        <v>-2214</v>
      </c>
      <c r="E3" s="30">
        <v>2703</v>
      </c>
      <c r="F3" s="30">
        <v>1453</v>
      </c>
      <c r="G3" s="30">
        <v>4134</v>
      </c>
      <c r="H3" s="30">
        <v>6293</v>
      </c>
      <c r="I3" s="30">
        <v>-1455</v>
      </c>
      <c r="J3" s="30">
        <v>6680</v>
      </c>
      <c r="K3" s="30">
        <v>5282</v>
      </c>
      <c r="L3" s="30">
        <v>4775</v>
      </c>
      <c r="M3" s="30">
        <v>8662</v>
      </c>
      <c r="N3" s="30">
        <v>9795</v>
      </c>
    </row>
    <row r="4" spans="2:14" x14ac:dyDescent="0.3">
      <c r="B4" t="s">
        <v>86</v>
      </c>
      <c r="C4">
        <v>-563</v>
      </c>
      <c r="D4">
        <v>-620</v>
      </c>
      <c r="E4" s="30">
        <v>3502</v>
      </c>
      <c r="F4" s="30">
        <v>1662</v>
      </c>
      <c r="G4" s="30">
        <v>4091</v>
      </c>
      <c r="H4" s="30">
        <v>6167</v>
      </c>
      <c r="I4">
        <v>439</v>
      </c>
      <c r="J4" s="30">
        <v>1961</v>
      </c>
      <c r="K4" s="30">
        <v>2683</v>
      </c>
      <c r="L4" s="30">
        <v>5010</v>
      </c>
      <c r="M4" s="30">
        <v>8523</v>
      </c>
      <c r="N4" s="30">
        <v>8615</v>
      </c>
    </row>
    <row r="5" spans="2:14" x14ac:dyDescent="0.3">
      <c r="B5" t="s">
        <v>43</v>
      </c>
      <c r="C5">
        <v>381</v>
      </c>
      <c r="D5">
        <v>-20</v>
      </c>
      <c r="E5">
        <v>-678</v>
      </c>
      <c r="F5">
        <v>-199</v>
      </c>
      <c r="G5" s="30">
        <v>-1217</v>
      </c>
      <c r="H5">
        <v>164</v>
      </c>
      <c r="I5" s="30">
        <v>1168</v>
      </c>
      <c r="J5">
        <v>-142</v>
      </c>
      <c r="K5" s="30">
        <v>-1016</v>
      </c>
      <c r="L5">
        <v>-306</v>
      </c>
      <c r="M5">
        <v>-553</v>
      </c>
      <c r="N5">
        <v>388</v>
      </c>
    </row>
    <row r="6" spans="2:14" x14ac:dyDescent="0.3">
      <c r="B6" t="s">
        <v>30</v>
      </c>
      <c r="C6">
        <v>592</v>
      </c>
      <c r="D6">
        <v>-940</v>
      </c>
      <c r="E6">
        <v>-235</v>
      </c>
      <c r="F6">
        <v>-572</v>
      </c>
      <c r="G6">
        <v>-278</v>
      </c>
      <c r="H6">
        <v>966</v>
      </c>
      <c r="I6">
        <v>730</v>
      </c>
      <c r="J6">
        <v>-765</v>
      </c>
      <c r="K6" s="30">
        <v>-1201</v>
      </c>
      <c r="L6">
        <v>658</v>
      </c>
      <c r="M6">
        <v>-541</v>
      </c>
      <c r="N6">
        <v>257</v>
      </c>
    </row>
    <row r="7" spans="2:14" x14ac:dyDescent="0.3">
      <c r="B7" t="s">
        <v>87</v>
      </c>
      <c r="C7" s="30">
        <v>1213</v>
      </c>
      <c r="D7">
        <v>-843</v>
      </c>
      <c r="E7">
        <v>76</v>
      </c>
      <c r="F7" s="30">
        <v>2314</v>
      </c>
      <c r="G7" s="30">
        <v>2764</v>
      </c>
      <c r="H7">
        <v>-725</v>
      </c>
      <c r="I7" s="30">
        <v>-2689</v>
      </c>
      <c r="J7" s="30">
        <v>4965</v>
      </c>
      <c r="K7" s="30">
        <v>5285</v>
      </c>
      <c r="L7">
        <v>-957</v>
      </c>
      <c r="M7">
        <v>315</v>
      </c>
      <c r="N7">
        <v>-56</v>
      </c>
    </row>
    <row r="8" spans="2:14" x14ac:dyDescent="0.3">
      <c r="B8" t="s">
        <v>88</v>
      </c>
      <c r="C8">
        <v>0</v>
      </c>
      <c r="D8">
        <v>0</v>
      </c>
      <c r="E8">
        <v>-55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89</v>
      </c>
      <c r="C9">
        <v>896</v>
      </c>
      <c r="D9">
        <v>286</v>
      </c>
      <c r="E9">
        <v>115</v>
      </c>
      <c r="F9" s="30">
        <v>-1636</v>
      </c>
      <c r="G9" s="30">
        <v>-1217</v>
      </c>
      <c r="H9">
        <v>-97</v>
      </c>
      <c r="I9" s="30">
        <v>-1011</v>
      </c>
      <c r="J9">
        <v>725</v>
      </c>
      <c r="K9">
        <v>-314</v>
      </c>
      <c r="L9">
        <v>539</v>
      </c>
      <c r="M9" s="30">
        <v>1164</v>
      </c>
      <c r="N9">
        <v>583</v>
      </c>
    </row>
    <row r="10" spans="2:14" x14ac:dyDescent="0.3">
      <c r="B10" t="s">
        <v>90</v>
      </c>
      <c r="C10" s="30">
        <v>3082</v>
      </c>
      <c r="D10" s="30">
        <v>-1517</v>
      </c>
      <c r="E10">
        <v>-776</v>
      </c>
      <c r="F10">
        <v>-93</v>
      </c>
      <c r="G10">
        <v>52</v>
      </c>
      <c r="H10">
        <v>308</v>
      </c>
      <c r="I10" s="30">
        <v>-1801</v>
      </c>
      <c r="J10" s="30">
        <v>4783</v>
      </c>
      <c r="K10" s="30">
        <v>2755</v>
      </c>
      <c r="L10">
        <v>-67</v>
      </c>
      <c r="M10">
        <v>385</v>
      </c>
      <c r="N10" s="30">
        <v>1172</v>
      </c>
    </row>
    <row r="11" spans="2:14" x14ac:dyDescent="0.3">
      <c r="B11" t="s">
        <v>91</v>
      </c>
      <c r="C11">
        <v>-56</v>
      </c>
      <c r="D11">
        <v>-78</v>
      </c>
      <c r="E11">
        <v>-24</v>
      </c>
      <c r="F11">
        <v>-115</v>
      </c>
      <c r="G11">
        <v>-8</v>
      </c>
      <c r="H11">
        <v>-182</v>
      </c>
      <c r="I11">
        <v>-93</v>
      </c>
      <c r="J11">
        <v>-63</v>
      </c>
      <c r="K11">
        <v>-156</v>
      </c>
      <c r="L11">
        <v>-168</v>
      </c>
      <c r="M11">
        <v>-246</v>
      </c>
      <c r="N11">
        <v>8</v>
      </c>
    </row>
    <row r="12" spans="2:14" x14ac:dyDescent="0.3">
      <c r="B12" t="s">
        <v>92</v>
      </c>
      <c r="C12" s="30">
        <v>2563</v>
      </c>
      <c r="D12">
        <v>246</v>
      </c>
      <c r="E12" s="30">
        <v>-3264</v>
      </c>
      <c r="F12" s="30">
        <v>-2860</v>
      </c>
      <c r="G12">
        <v>-710</v>
      </c>
      <c r="H12" s="30">
        <v>-3822</v>
      </c>
      <c r="I12" s="30">
        <v>-4637</v>
      </c>
      <c r="J12" s="30">
        <v>-2988</v>
      </c>
      <c r="K12" s="30">
        <v>-4681</v>
      </c>
      <c r="L12">
        <v>917</v>
      </c>
      <c r="M12" s="30">
        <v>1492</v>
      </c>
      <c r="N12" s="30">
        <v>-3821</v>
      </c>
    </row>
    <row r="13" spans="2:14" x14ac:dyDescent="0.3">
      <c r="B13" t="s">
        <v>93</v>
      </c>
      <c r="C13" s="30">
        <v>-3105</v>
      </c>
      <c r="D13" s="30">
        <v>-3079</v>
      </c>
      <c r="E13" s="30">
        <v>-3284</v>
      </c>
      <c r="F13" s="30">
        <v>-3514</v>
      </c>
      <c r="G13" s="30">
        <v>-2823</v>
      </c>
      <c r="H13" s="30">
        <v>-4783</v>
      </c>
      <c r="I13" s="30">
        <v>-4669</v>
      </c>
      <c r="J13" s="30">
        <v>-1856</v>
      </c>
      <c r="K13" s="30">
        <v>-1831</v>
      </c>
      <c r="L13" s="30">
        <v>-1697</v>
      </c>
      <c r="M13" s="30">
        <v>-1991</v>
      </c>
      <c r="N13" s="30">
        <v>-2043</v>
      </c>
    </row>
    <row r="14" spans="2:14" x14ac:dyDescent="0.3">
      <c r="B14" t="s">
        <v>94</v>
      </c>
      <c r="C14">
        <v>11</v>
      </c>
      <c r="D14">
        <v>25</v>
      </c>
      <c r="E14">
        <v>34</v>
      </c>
      <c r="F14">
        <v>17</v>
      </c>
      <c r="G14">
        <v>28</v>
      </c>
      <c r="H14">
        <v>30</v>
      </c>
      <c r="I14">
        <v>155</v>
      </c>
      <c r="J14">
        <v>178</v>
      </c>
      <c r="K14">
        <v>100</v>
      </c>
      <c r="L14">
        <v>123</v>
      </c>
      <c r="M14">
        <v>39</v>
      </c>
      <c r="N14">
        <v>113</v>
      </c>
    </row>
    <row r="15" spans="2:14" x14ac:dyDescent="0.3">
      <c r="B15" t="s">
        <v>95</v>
      </c>
      <c r="C15">
        <v>0</v>
      </c>
      <c r="D15">
        <v>0</v>
      </c>
      <c r="E15" s="30">
        <v>-1669</v>
      </c>
      <c r="F15">
        <v>-537</v>
      </c>
      <c r="G15">
        <v>0</v>
      </c>
      <c r="H15">
        <v>0</v>
      </c>
      <c r="I15">
        <v>0</v>
      </c>
      <c r="J15">
        <v>-673</v>
      </c>
      <c r="K15" s="30">
        <v>-3560</v>
      </c>
      <c r="L15">
        <v>0</v>
      </c>
      <c r="M15">
        <v>-33</v>
      </c>
      <c r="N15">
        <v>-793</v>
      </c>
    </row>
    <row r="16" spans="2:14" x14ac:dyDescent="0.3">
      <c r="B16" t="s">
        <v>96</v>
      </c>
      <c r="C16" s="30">
        <v>4424</v>
      </c>
      <c r="D16" s="30">
        <v>1871</v>
      </c>
      <c r="E16">
        <v>832</v>
      </c>
      <c r="F16">
        <v>0</v>
      </c>
      <c r="G16" s="30">
        <v>1026</v>
      </c>
      <c r="H16">
        <v>952</v>
      </c>
      <c r="I16">
        <v>359</v>
      </c>
      <c r="J16">
        <v>4</v>
      </c>
      <c r="K16">
        <v>0</v>
      </c>
      <c r="L16" s="30">
        <v>2079</v>
      </c>
      <c r="M16" s="30">
        <v>1282</v>
      </c>
      <c r="N16">
        <v>35</v>
      </c>
    </row>
    <row r="17" spans="2:14" x14ac:dyDescent="0.3">
      <c r="B17" t="s">
        <v>97</v>
      </c>
      <c r="C17">
        <v>182</v>
      </c>
      <c r="D17">
        <v>80</v>
      </c>
      <c r="E17">
        <v>254</v>
      </c>
      <c r="F17">
        <v>259</v>
      </c>
      <c r="G17">
        <v>399</v>
      </c>
      <c r="H17">
        <v>327</v>
      </c>
      <c r="I17">
        <v>471</v>
      </c>
      <c r="J17">
        <v>154</v>
      </c>
      <c r="K17">
        <v>301</v>
      </c>
      <c r="L17">
        <v>185</v>
      </c>
      <c r="M17">
        <v>180</v>
      </c>
      <c r="N17">
        <v>346</v>
      </c>
    </row>
    <row r="18" spans="2:14" x14ac:dyDescent="0.3">
      <c r="B18" t="s">
        <v>98</v>
      </c>
      <c r="C18" s="30">
        <v>1603</v>
      </c>
      <c r="D18" s="30">
        <v>1698</v>
      </c>
      <c r="E18" s="30">
        <v>1042</v>
      </c>
      <c r="F18">
        <v>673</v>
      </c>
      <c r="G18" s="30">
        <v>1055</v>
      </c>
      <c r="H18" s="30">
        <v>1569</v>
      </c>
      <c r="I18">
        <v>241</v>
      </c>
      <c r="J18">
        <v>20</v>
      </c>
      <c r="K18">
        <v>80</v>
      </c>
      <c r="L18">
        <v>319</v>
      </c>
      <c r="M18">
        <v>655</v>
      </c>
      <c r="N18" s="30">
        <v>1988</v>
      </c>
    </row>
    <row r="19" spans="2:14" x14ac:dyDescent="0.3">
      <c r="B19" t="s">
        <v>99</v>
      </c>
      <c r="C19">
        <v>-578</v>
      </c>
      <c r="D19">
        <v>-137</v>
      </c>
      <c r="E19">
        <v>-60</v>
      </c>
      <c r="F19">
        <v>-139</v>
      </c>
      <c r="G19">
        <v>-300</v>
      </c>
      <c r="H19">
        <v>-838</v>
      </c>
      <c r="I19">
        <v>-467</v>
      </c>
      <c r="J19">
        <v>0</v>
      </c>
      <c r="K19">
        <v>-871</v>
      </c>
      <c r="L19">
        <v>-191</v>
      </c>
      <c r="M19">
        <v>-678</v>
      </c>
      <c r="N19" s="30">
        <v>-1121</v>
      </c>
    </row>
    <row r="20" spans="2:14" x14ac:dyDescent="0.3">
      <c r="B20" t="s">
        <v>100</v>
      </c>
      <c r="C20">
        <v>152</v>
      </c>
      <c r="D20">
        <v>0</v>
      </c>
      <c r="E20">
        <v>-78</v>
      </c>
      <c r="F20">
        <v>0</v>
      </c>
      <c r="G20">
        <v>0</v>
      </c>
      <c r="H20">
        <v>0</v>
      </c>
      <c r="I20">
        <v>-8</v>
      </c>
      <c r="J20">
        <v>-57</v>
      </c>
      <c r="K20">
        <v>-51</v>
      </c>
      <c r="L20">
        <v>-45</v>
      </c>
      <c r="M20">
        <v>-16</v>
      </c>
      <c r="N20">
        <v>-166</v>
      </c>
    </row>
    <row r="21" spans="2:14" x14ac:dyDescent="0.3">
      <c r="B21" t="s">
        <v>101</v>
      </c>
      <c r="C21">
        <v>-325</v>
      </c>
      <c r="D21">
        <v>-159</v>
      </c>
      <c r="E21">
        <v>0</v>
      </c>
      <c r="F21">
        <v>0</v>
      </c>
      <c r="G21">
        <v>-44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  <c r="N21">
        <v>0</v>
      </c>
    </row>
    <row r="22" spans="2:14" x14ac:dyDescent="0.3">
      <c r="B22" t="s">
        <v>102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</v>
      </c>
      <c r="J22">
        <v>10</v>
      </c>
      <c r="K22">
        <v>234</v>
      </c>
      <c r="L22">
        <v>0</v>
      </c>
      <c r="M22" s="30">
        <v>3812</v>
      </c>
      <c r="N22">
        <v>150</v>
      </c>
    </row>
    <row r="23" spans="2:14" x14ac:dyDescent="0.3"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104</v>
      </c>
      <c r="C24">
        <v>-40</v>
      </c>
      <c r="D24">
        <v>-5</v>
      </c>
      <c r="E24">
        <v>-35</v>
      </c>
      <c r="F24">
        <v>20</v>
      </c>
      <c r="G24">
        <v>60</v>
      </c>
      <c r="H24">
        <v>-2</v>
      </c>
      <c r="I24">
        <v>-10</v>
      </c>
      <c r="J24">
        <v>-30</v>
      </c>
      <c r="K24">
        <v>0</v>
      </c>
      <c r="L24">
        <v>-15</v>
      </c>
      <c r="M24">
        <v>-95</v>
      </c>
      <c r="N24" s="30">
        <v>-2923</v>
      </c>
    </row>
    <row r="25" spans="2:14" x14ac:dyDescent="0.3">
      <c r="B25" t="s">
        <v>105</v>
      </c>
      <c r="C25">
        <v>241</v>
      </c>
      <c r="D25">
        <v>-48</v>
      </c>
      <c r="E25">
        <v>-301</v>
      </c>
      <c r="F25">
        <v>361</v>
      </c>
      <c r="G25">
        <v>-111</v>
      </c>
      <c r="H25" s="30">
        <v>-1076</v>
      </c>
      <c r="I25">
        <v>-736</v>
      </c>
      <c r="J25">
        <v>-740</v>
      </c>
      <c r="K25">
        <v>917</v>
      </c>
      <c r="L25">
        <v>160</v>
      </c>
      <c r="M25" s="30">
        <v>-1513</v>
      </c>
      <c r="N25">
        <v>593</v>
      </c>
    </row>
    <row r="26" spans="2:14" x14ac:dyDescent="0.3">
      <c r="B26" t="s">
        <v>106</v>
      </c>
      <c r="C26" s="30">
        <v>-5034</v>
      </c>
      <c r="D26" s="30">
        <v>2632</v>
      </c>
      <c r="E26">
        <v>-79</v>
      </c>
      <c r="F26" s="30">
        <v>1209</v>
      </c>
      <c r="G26" s="30">
        <v>-3106</v>
      </c>
      <c r="H26" s="30">
        <v>-2530</v>
      </c>
      <c r="I26" s="30">
        <v>7749</v>
      </c>
      <c r="J26" s="30">
        <v>-3472</v>
      </c>
      <c r="K26">
        <v>-516</v>
      </c>
      <c r="L26" s="30">
        <v>-7021</v>
      </c>
      <c r="M26" s="30">
        <v>-7930</v>
      </c>
      <c r="N26" s="30">
        <v>-8932</v>
      </c>
    </row>
    <row r="27" spans="2:14" x14ac:dyDescent="0.3">
      <c r="B27" t="s">
        <v>107</v>
      </c>
      <c r="C27">
        <v>0</v>
      </c>
      <c r="D27">
        <v>0</v>
      </c>
      <c r="E27" s="30">
        <v>7433</v>
      </c>
      <c r="F27">
        <v>5</v>
      </c>
      <c r="G27">
        <v>0</v>
      </c>
      <c r="H27">
        <v>0</v>
      </c>
      <c r="I27" s="30">
        <v>3889</v>
      </c>
      <c r="J27" s="30">
        <v>2603</v>
      </c>
      <c r="K27">
        <v>19</v>
      </c>
      <c r="L27">
        <v>20</v>
      </c>
      <c r="M27">
        <v>82</v>
      </c>
      <c r="N27" s="30">
        <v>1108</v>
      </c>
    </row>
    <row r="28" spans="2:14" x14ac:dyDescent="0.3">
      <c r="B28" t="s">
        <v>108</v>
      </c>
      <c r="C28" s="30">
        <v>9385</v>
      </c>
      <c r="D28" s="30">
        <v>12817</v>
      </c>
      <c r="E28" s="30">
        <v>3587</v>
      </c>
      <c r="F28" s="30">
        <v>10687</v>
      </c>
      <c r="G28" s="30">
        <v>6406</v>
      </c>
      <c r="H28" s="30">
        <v>8805</v>
      </c>
      <c r="I28" s="30">
        <v>15462</v>
      </c>
      <c r="J28" s="30">
        <v>6985</v>
      </c>
      <c r="K28" s="30">
        <v>10408</v>
      </c>
      <c r="L28">
        <v>887</v>
      </c>
      <c r="M28">
        <v>783</v>
      </c>
      <c r="N28" s="30">
        <v>2262</v>
      </c>
    </row>
    <row r="29" spans="2:14" x14ac:dyDescent="0.3">
      <c r="B29" t="s">
        <v>109</v>
      </c>
      <c r="C29" s="30">
        <v>-10912</v>
      </c>
      <c r="D29" s="30">
        <v>-6890</v>
      </c>
      <c r="E29" s="30">
        <v>-9013</v>
      </c>
      <c r="F29" s="30">
        <v>-7473</v>
      </c>
      <c r="G29" s="30">
        <v>-7410</v>
      </c>
      <c r="H29" s="30">
        <v>-8977</v>
      </c>
      <c r="I29" s="30">
        <v>-9128</v>
      </c>
      <c r="J29" s="30">
        <v>-10438</v>
      </c>
      <c r="K29" s="30">
        <v>-8517</v>
      </c>
      <c r="L29" s="30">
        <v>-5852</v>
      </c>
      <c r="M29" s="30">
        <v>-6031</v>
      </c>
      <c r="N29" s="30">
        <v>-7281</v>
      </c>
    </row>
    <row r="30" spans="2:14" x14ac:dyDescent="0.3">
      <c r="B30" t="s">
        <v>110</v>
      </c>
      <c r="C30" s="30">
        <v>-1750</v>
      </c>
      <c r="D30" s="30">
        <v>-1845</v>
      </c>
      <c r="E30" s="30">
        <v>-2086</v>
      </c>
      <c r="F30" s="30">
        <v>-1936</v>
      </c>
      <c r="G30" s="30">
        <v>-2098</v>
      </c>
      <c r="H30" s="30">
        <v>-2355</v>
      </c>
      <c r="I30" s="30">
        <v>-2270</v>
      </c>
      <c r="J30" s="30">
        <v>-2427</v>
      </c>
      <c r="K30" s="30">
        <v>-2272</v>
      </c>
      <c r="L30" s="30">
        <v>-2008</v>
      </c>
      <c r="M30" s="30">
        <v>-1839</v>
      </c>
      <c r="N30" s="30">
        <v>-1159</v>
      </c>
    </row>
    <row r="31" spans="2:14" x14ac:dyDescent="0.3">
      <c r="B31" t="s">
        <v>111</v>
      </c>
      <c r="C31">
        <v>-649</v>
      </c>
      <c r="D31">
        <v>-649</v>
      </c>
      <c r="E31">
        <v>0</v>
      </c>
      <c r="F31">
        <v>-73</v>
      </c>
      <c r="G31">
        <v>-3</v>
      </c>
      <c r="H31">
        <v>-3</v>
      </c>
      <c r="I31">
        <v>-4</v>
      </c>
      <c r="J31">
        <v>-2</v>
      </c>
      <c r="K31">
        <v>-2</v>
      </c>
      <c r="L31">
        <v>0</v>
      </c>
      <c r="M31">
        <v>-770</v>
      </c>
      <c r="N31" s="30">
        <v>-2304</v>
      </c>
    </row>
    <row r="32" spans="2:14" x14ac:dyDescent="0.3">
      <c r="B32" t="s">
        <v>112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-194</v>
      </c>
      <c r="J32">
        <v>-192</v>
      </c>
      <c r="K32">
        <v>-152</v>
      </c>
      <c r="L32">
        <v>-68</v>
      </c>
      <c r="M32">
        <v>-155</v>
      </c>
      <c r="N32">
        <v>-422</v>
      </c>
    </row>
    <row r="33" spans="2:14" x14ac:dyDescent="0.3">
      <c r="B33" t="s">
        <v>113</v>
      </c>
      <c r="C33" s="30">
        <v>-1108</v>
      </c>
      <c r="D33">
        <v>-801</v>
      </c>
      <c r="E33">
        <v>0</v>
      </c>
      <c r="F33">
        <v>0</v>
      </c>
      <c r="G33">
        <v>0</v>
      </c>
      <c r="H33">
        <v>0</v>
      </c>
      <c r="I33">
        <v>-7</v>
      </c>
      <c r="J33">
        <v>0</v>
      </c>
      <c r="K33">
        <v>0</v>
      </c>
      <c r="L33">
        <v>0</v>
      </c>
      <c r="M33">
        <v>0</v>
      </c>
      <c r="N33" s="30">
        <v>-1136</v>
      </c>
    </row>
    <row r="34" spans="2:14" x14ac:dyDescent="0.3">
      <c r="B34" t="s">
        <v>21</v>
      </c>
      <c r="C34">
        <v>-7</v>
      </c>
      <c r="D34">
        <v>663</v>
      </c>
      <c r="E34">
        <v>-639</v>
      </c>
      <c r="F34">
        <v>-198</v>
      </c>
      <c r="G34">
        <v>318</v>
      </c>
      <c r="H34">
        <v>-59</v>
      </c>
      <c r="I34" s="30">
        <v>1658</v>
      </c>
      <c r="J34">
        <v>220</v>
      </c>
      <c r="K34">
        <v>85</v>
      </c>
      <c r="L34" s="30">
        <v>-1329</v>
      </c>
      <c r="M34" s="30">
        <v>2224</v>
      </c>
      <c r="N34" s="30">
        <v>-2958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Financials</vt:lpstr>
      <vt:lpstr>Altman's Z Score</vt:lpstr>
      <vt:lpstr>Dupont Analysis</vt:lpstr>
      <vt:lpstr>Historical FS</vt:lpstr>
      <vt:lpstr>Ratio analysis</vt:lpstr>
      <vt:lpstr>Forecasting</vt:lpstr>
      <vt:lpstr>Common Size Statement</vt:lpstr>
      <vt:lpstr>Intrinsic Growth</vt:lpstr>
      <vt:lpstr>Raw FS</vt:lpstr>
      <vt:lpstr>Data &gt;</vt:lpstr>
      <vt:lpstr>Data Sheet</vt:lpstr>
      <vt:lpstr>Data Room &gt;</vt:lpstr>
      <vt:lpstr>Cashflow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aditya raj singh</cp:lastModifiedBy>
  <cp:lastPrinted>2012-12-06T18:14:13Z</cp:lastPrinted>
  <dcterms:created xsi:type="dcterms:W3CDTF">2012-08-17T09:55:37Z</dcterms:created>
  <dcterms:modified xsi:type="dcterms:W3CDTF">2025-12-30T17:56:13Z</dcterms:modified>
</cp:coreProperties>
</file>