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1C6889F3-9777-4312-9E8C-272059E63284}" xr6:coauthVersionLast="47" xr6:coauthVersionMax="47" xr10:uidLastSave="{00000000-0000-0000-0000-000000000000}"/>
  <bookViews>
    <workbookView xWindow="-96" yWindow="0" windowWidth="14016" windowHeight="12336" activeTab="1" xr2:uid="{00000000-000D-0000-FFFF-FFFF00000000}"/>
  </bookViews>
  <sheets>
    <sheet name="Sheet1" sheetId="1" r:id="rId1"/>
    <sheet name="M&amp;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C26" i="2"/>
  <c r="C23" i="2"/>
  <c r="C24" i="2"/>
  <c r="H18" i="2"/>
  <c r="H19" i="2"/>
  <c r="H20" i="2"/>
  <c r="H21" i="2"/>
  <c r="H17" i="2"/>
  <c r="F17" i="2"/>
  <c r="F18" i="2"/>
  <c r="F19" i="2"/>
  <c r="F20" i="2"/>
  <c r="F21" i="2"/>
  <c r="F16" i="2"/>
  <c r="E16" i="2"/>
  <c r="G18" i="2"/>
  <c r="G19" i="2"/>
  <c r="G20" i="2" s="1"/>
  <c r="G21" i="2" s="1"/>
  <c r="G17" i="2"/>
  <c r="H16" i="2"/>
  <c r="G16" i="2"/>
  <c r="C18" i="2"/>
  <c r="C19" i="2" s="1"/>
  <c r="C20" i="2" s="1"/>
  <c r="C21" i="2" s="1"/>
  <c r="C17" i="2"/>
  <c r="C16" i="2"/>
  <c r="C10" i="2"/>
  <c r="D10" i="2" s="1"/>
  <c r="C9" i="2"/>
  <c r="C7" i="2"/>
  <c r="D24" i="1"/>
  <c r="C24" i="1"/>
  <c r="C23" i="1"/>
  <c r="C21" i="1"/>
  <c r="C20" i="1"/>
  <c r="E14" i="1"/>
  <c r="E15" i="1" s="1"/>
  <c r="E16" i="1" s="1"/>
  <c r="E17" i="1" s="1"/>
  <c r="E18" i="1" s="1"/>
  <c r="D14" i="1"/>
  <c r="C7" i="1"/>
  <c r="C14" i="1" l="1"/>
  <c r="D15" i="1"/>
  <c r="D16" i="1" l="1"/>
  <c r="C15" i="1"/>
  <c r="D17" i="1" l="1"/>
  <c r="C16" i="1"/>
  <c r="D18" i="1" l="1"/>
  <c r="C18" i="1" s="1"/>
  <c r="C17" i="1"/>
</calcChain>
</file>

<file path=xl/sharedStrings.xml><?xml version="1.0" encoding="utf-8"?>
<sst xmlns="http://schemas.openxmlformats.org/spreadsheetml/2006/main" count="34" uniqueCount="23">
  <si>
    <t>Basic Mini LBO Model - Buying a House</t>
  </si>
  <si>
    <t>Purchase Price of house</t>
  </si>
  <si>
    <t>Down Payment</t>
  </si>
  <si>
    <t>Debt</t>
  </si>
  <si>
    <t>Year</t>
  </si>
  <si>
    <t>Equity</t>
  </si>
  <si>
    <t>Total Value</t>
  </si>
  <si>
    <t>Growth in Value</t>
  </si>
  <si>
    <t>Annual Principal Repayment</t>
  </si>
  <si>
    <t>Equity Growth (INR)</t>
  </si>
  <si>
    <t>Equity Growth (%)</t>
  </si>
  <si>
    <t>Internal Rate of Return</t>
  </si>
  <si>
    <t>Cash on Cash Return</t>
  </si>
  <si>
    <t xml:space="preserve"> </t>
  </si>
  <si>
    <t>Basic Mini LBO Model - M&amp;A</t>
  </si>
  <si>
    <t>Target Co. EBIDTA</t>
  </si>
  <si>
    <t>Purchase Multiple</t>
  </si>
  <si>
    <t>Purchase Price</t>
  </si>
  <si>
    <t>EBIDTA</t>
  </si>
  <si>
    <t>EBIDTA Growth</t>
  </si>
  <si>
    <t>Multiple</t>
  </si>
  <si>
    <t>Enterprise Value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</si>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</sst>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-439]#,##0"/>
    <numFmt numFmtId="165" formatCode="#,##0&quot;x&quot;"/>
    <numFmt numFmtId="168" formatCode="0.0%"/>
    <numFmt numFmtId="170" formatCode="#,##0.0&quot;x&quot;"/>
    <numFmt numFmtId="171" formatCode="0.0&quot;x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5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6" fillId="2" borderId="0" xfId="0" applyFont="1" applyFill="1"/>
    <xf numFmtId="9" fontId="0" fillId="0" borderId="0" xfId="0" applyNumberFormat="1"/>
    <xf numFmtId="164" fontId="2" fillId="0" borderId="0" xfId="0" applyNumberFormat="1" applyFont="1"/>
    <xf numFmtId="10" fontId="0" fillId="0" borderId="0" xfId="1" applyNumberFormat="1" applyFont="1"/>
    <xf numFmtId="165" fontId="2" fillId="0" borderId="0" xfId="0" applyNumberFormat="1" applyFont="1"/>
    <xf numFmtId="0" fontId="2" fillId="0" borderId="2" xfId="0" applyFont="1" applyBorder="1"/>
    <xf numFmtId="10" fontId="2" fillId="0" borderId="3" xfId="0" applyNumberFormat="1" applyFont="1" applyBorder="1"/>
    <xf numFmtId="0" fontId="2" fillId="0" borderId="4" xfId="0" applyFont="1" applyBorder="1"/>
    <xf numFmtId="164" fontId="2" fillId="0" borderId="5" xfId="0" applyNumberFormat="1" applyFont="1" applyBorder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0" borderId="0" xfId="0" applyFont="1" applyBorder="1"/>
    <xf numFmtId="164" fontId="2" fillId="0" borderId="0" xfId="0" applyNumberFormat="1" applyFont="1" applyBorder="1"/>
    <xf numFmtId="0" fontId="0" fillId="0" borderId="0" xfId="0" applyFont="1" applyBorder="1"/>
    <xf numFmtId="164" fontId="0" fillId="0" borderId="0" xfId="0" applyNumberFormat="1" applyFont="1" applyBorder="1"/>
    <xf numFmtId="164" fontId="5" fillId="0" borderId="0" xfId="0" applyNumberFormat="1" applyFont="1" applyBorder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/>
    </xf>
    <xf numFmtId="171" fontId="0" fillId="0" borderId="0" xfId="0" applyNumberFormat="1" applyFont="1"/>
    <xf numFmtId="170" fontId="5" fillId="0" borderId="0" xfId="0" applyNumberFormat="1" applyFont="1"/>
    <xf numFmtId="3" fontId="0" fillId="0" borderId="0" xfId="0" applyNumberFormat="1"/>
    <xf numFmtId="168" fontId="2" fillId="0" borderId="3" xfId="0" applyNumberFormat="1" applyFont="1" applyBorder="1"/>
    <xf numFmtId="170" fontId="2" fillId="0" borderId="5" xfId="0" applyNumberFormat="1" applyFont="1" applyBorder="1"/>
    <xf numFmtId="168" fontId="5" fillId="0" borderId="0" xfId="0" applyNumberFormat="1" applyFont="1"/>
    <xf numFmtId="171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4"/>
  <sheetViews>
    <sheetView showGridLines="0" topLeftCell="A2" workbookViewId="0">
      <selection activeCell="G23" sqref="G23"/>
    </sheetView>
  </sheetViews>
  <sheetFormatPr defaultRowHeight="14.4" x14ac:dyDescent="0.3"/>
  <cols>
    <col min="1" max="1" width="1.88671875" customWidth="1"/>
    <col min="2" max="2" width="34" customWidth="1"/>
    <col min="3" max="3" width="15" bestFit="1" customWidth="1"/>
    <col min="4" max="4" width="9.88671875" bestFit="1" customWidth="1"/>
    <col min="5" max="5" width="10.88671875" customWidth="1"/>
    <col min="6" max="6" width="14.21875" customWidth="1"/>
  </cols>
  <sheetData>
    <row r="1" spans="2:6" x14ac:dyDescent="0.3">
      <c r="B1" s="16"/>
      <c r="C1" s="16"/>
      <c r="D1" s="16"/>
      <c r="E1" s="16"/>
      <c r="F1" s="16"/>
    </row>
    <row r="2" spans="2:6" ht="15.6" x14ac:dyDescent="0.3">
      <c r="B2" s="17" t="s">
        <v>0</v>
      </c>
      <c r="C2" s="18"/>
      <c r="D2" s="18"/>
      <c r="E2" s="18"/>
      <c r="F2" s="18"/>
    </row>
    <row r="5" spans="2:6" x14ac:dyDescent="0.3">
      <c r="B5" t="s">
        <v>1</v>
      </c>
      <c r="C5" s="3">
        <v>12000000</v>
      </c>
    </row>
    <row r="6" spans="2:6" ht="15" thickBot="1" x14ac:dyDescent="0.35">
      <c r="B6" t="s">
        <v>2</v>
      </c>
      <c r="C6" s="3">
        <v>2400000</v>
      </c>
    </row>
    <row r="7" spans="2:6" x14ac:dyDescent="0.3">
      <c r="B7" s="5" t="s">
        <v>3</v>
      </c>
      <c r="C7" s="6">
        <f>C5-C6</f>
        <v>9600000</v>
      </c>
    </row>
    <row r="8" spans="2:6" x14ac:dyDescent="0.3">
      <c r="B8" s="4"/>
      <c r="C8" s="9"/>
    </row>
    <row r="9" spans="2:6" x14ac:dyDescent="0.3">
      <c r="B9" t="s">
        <v>8</v>
      </c>
      <c r="C9" s="2">
        <v>1800000</v>
      </c>
    </row>
    <row r="10" spans="2:6" x14ac:dyDescent="0.3">
      <c r="D10" s="1"/>
    </row>
    <row r="11" spans="2:6" x14ac:dyDescent="0.3">
      <c r="B11" s="7" t="s">
        <v>4</v>
      </c>
      <c r="C11" s="7" t="s">
        <v>5</v>
      </c>
      <c r="D11" s="7" t="s">
        <v>3</v>
      </c>
      <c r="E11" s="7" t="s">
        <v>6</v>
      </c>
      <c r="F11" s="7" t="s">
        <v>7</v>
      </c>
    </row>
    <row r="12" spans="2:6" ht="6" customHeight="1" x14ac:dyDescent="0.3">
      <c r="B12" s="1"/>
    </row>
    <row r="13" spans="2:6" x14ac:dyDescent="0.3">
      <c r="B13" s="1">
        <v>0</v>
      </c>
      <c r="C13" s="2">
        <v>2400000</v>
      </c>
      <c r="D13" s="2">
        <v>9600000</v>
      </c>
      <c r="E13" s="2">
        <v>12000000</v>
      </c>
    </row>
    <row r="14" spans="2:6" x14ac:dyDescent="0.3">
      <c r="B14" s="1">
        <v>1</v>
      </c>
      <c r="C14" s="2">
        <f>E14-D14</f>
        <v>5040000</v>
      </c>
      <c r="D14" s="2">
        <f>D13-$C$9</f>
        <v>7800000</v>
      </c>
      <c r="E14" s="2">
        <f>E13*(1+F14)</f>
        <v>12840000</v>
      </c>
      <c r="F14" s="8">
        <v>7.0000000000000007E-2</v>
      </c>
    </row>
    <row r="15" spans="2:6" x14ac:dyDescent="0.3">
      <c r="B15" s="1">
        <v>2</v>
      </c>
      <c r="C15" s="2">
        <f t="shared" ref="C15:C18" si="0">E15-D15</f>
        <v>7738800</v>
      </c>
      <c r="D15" s="2">
        <f t="shared" ref="D15:D18" si="1">D14-$C$9</f>
        <v>6000000</v>
      </c>
      <c r="E15" s="2">
        <f t="shared" ref="E15:E18" si="2">E14*(1+F15)</f>
        <v>13738800</v>
      </c>
      <c r="F15" s="8">
        <v>7.0000000000000007E-2</v>
      </c>
    </row>
    <row r="16" spans="2:6" x14ac:dyDescent="0.3">
      <c r="B16" s="1">
        <v>3</v>
      </c>
      <c r="C16" s="2">
        <f t="shared" si="0"/>
        <v>10500516</v>
      </c>
      <c r="D16" s="2">
        <f t="shared" si="1"/>
        <v>4200000</v>
      </c>
      <c r="E16" s="2">
        <f t="shared" si="2"/>
        <v>14700516</v>
      </c>
      <c r="F16" s="8">
        <v>7.0000000000000007E-2</v>
      </c>
    </row>
    <row r="17" spans="2:6" x14ac:dyDescent="0.3">
      <c r="B17" s="1">
        <v>4</v>
      </c>
      <c r="C17" s="2">
        <f t="shared" si="0"/>
        <v>12888536.640000001</v>
      </c>
      <c r="D17" s="2">
        <f t="shared" si="1"/>
        <v>2400000</v>
      </c>
      <c r="E17" s="2">
        <f t="shared" si="2"/>
        <v>15288536.640000001</v>
      </c>
      <c r="F17" s="8">
        <v>0.04</v>
      </c>
    </row>
    <row r="18" spans="2:6" x14ac:dyDescent="0.3">
      <c r="B18" s="1">
        <v>5</v>
      </c>
      <c r="C18" s="2">
        <f t="shared" si="0"/>
        <v>15300078.105600001</v>
      </c>
      <c r="D18" s="2">
        <f t="shared" si="1"/>
        <v>600000</v>
      </c>
      <c r="E18" s="2">
        <f t="shared" si="2"/>
        <v>15900078.105600001</v>
      </c>
      <c r="F18" s="8">
        <v>0.04</v>
      </c>
    </row>
    <row r="20" spans="2:6" x14ac:dyDescent="0.3">
      <c r="B20" t="s">
        <v>9</v>
      </c>
      <c r="C20" s="2">
        <f>C18-C13</f>
        <v>12900078.105600001</v>
      </c>
      <c r="E20" t="s">
        <v>13</v>
      </c>
    </row>
    <row r="21" spans="2:6" x14ac:dyDescent="0.3">
      <c r="B21" t="s">
        <v>10</v>
      </c>
      <c r="C21" s="10">
        <f>C18/C13</f>
        <v>6.3750325440000006</v>
      </c>
    </row>
    <row r="23" spans="2:6" x14ac:dyDescent="0.3">
      <c r="B23" s="12" t="s">
        <v>11</v>
      </c>
      <c r="C23" s="13">
        <f>_xlfn.RRI(5,C13,C18)</f>
        <v>0.44842656431264993</v>
      </c>
      <c r="D23" s="4"/>
    </row>
    <row r="24" spans="2:6" x14ac:dyDescent="0.3">
      <c r="B24" s="14" t="s">
        <v>12</v>
      </c>
      <c r="C24" s="15">
        <f>E18-D18-C13</f>
        <v>12900078.105600001</v>
      </c>
      <c r="D24" s="11">
        <f>C18/C13</f>
        <v>6.3750325440000006</v>
      </c>
    </row>
  </sheetData>
  <mergeCells count="2"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085B-0720-466F-884B-708985DBC732}">
  <dimension ref="B1:H27"/>
  <sheetViews>
    <sheetView showGridLines="0" tabSelected="1" workbookViewId="0">
      <selection activeCell="H7" sqref="H7"/>
    </sheetView>
  </sheetViews>
  <sheetFormatPr defaultRowHeight="14.4" x14ac:dyDescent="0.3"/>
  <cols>
    <col min="1" max="1" width="1.88671875" customWidth="1"/>
    <col min="2" max="2" width="34" customWidth="1"/>
    <col min="3" max="3" width="12.44140625" customWidth="1"/>
    <col min="4" max="4" width="14.44140625" customWidth="1"/>
    <col min="5" max="5" width="10.88671875" customWidth="1"/>
    <col min="6" max="6" width="14.21875" customWidth="1"/>
    <col min="7" max="7" width="10.88671875" bestFit="1" customWidth="1"/>
    <col min="8" max="8" width="12.5546875" customWidth="1"/>
  </cols>
  <sheetData>
    <row r="1" spans="2:8" x14ac:dyDescent="0.3">
      <c r="B1" s="16"/>
      <c r="C1" s="16"/>
      <c r="D1" s="16"/>
      <c r="E1" s="16"/>
      <c r="F1" s="16"/>
    </row>
    <row r="2" spans="2:8" ht="15.6" x14ac:dyDescent="0.3">
      <c r="B2" s="17" t="s">
        <v>14</v>
      </c>
      <c r="C2" s="17"/>
      <c r="D2" s="17"/>
      <c r="E2" s="17"/>
      <c r="F2" s="17"/>
      <c r="G2" s="17"/>
      <c r="H2" s="17"/>
    </row>
    <row r="5" spans="2:8" x14ac:dyDescent="0.3">
      <c r="B5" t="s">
        <v>15</v>
      </c>
      <c r="C5" s="3">
        <v>7500000</v>
      </c>
    </row>
    <row r="6" spans="2:8" ht="15" thickBot="1" x14ac:dyDescent="0.35">
      <c r="B6" t="s">
        <v>16</v>
      </c>
      <c r="C6" s="33">
        <v>6</v>
      </c>
    </row>
    <row r="7" spans="2:8" x14ac:dyDescent="0.3">
      <c r="B7" s="5" t="s">
        <v>17</v>
      </c>
      <c r="C7" s="6">
        <f>C5*C6</f>
        <v>45000000</v>
      </c>
    </row>
    <row r="8" spans="2:8" x14ac:dyDescent="0.3">
      <c r="B8" s="19"/>
      <c r="C8" s="20"/>
    </row>
    <row r="9" spans="2:8" x14ac:dyDescent="0.3">
      <c r="B9" s="21" t="s">
        <v>5</v>
      </c>
      <c r="C9" s="23">
        <f>12500000</f>
        <v>12500000</v>
      </c>
    </row>
    <row r="10" spans="2:8" x14ac:dyDescent="0.3">
      <c r="B10" s="21" t="s">
        <v>3</v>
      </c>
      <c r="C10" s="22">
        <f>32500000</f>
        <v>32500000</v>
      </c>
      <c r="D10" s="10">
        <f>C10/(C10+C9)</f>
        <v>0.72222222222222221</v>
      </c>
    </row>
    <row r="11" spans="2:8" x14ac:dyDescent="0.3">
      <c r="B11" s="4"/>
      <c r="C11" s="9"/>
    </row>
    <row r="12" spans="2:8" x14ac:dyDescent="0.3">
      <c r="B12" t="s">
        <v>8</v>
      </c>
      <c r="C12" s="3">
        <v>4000000</v>
      </c>
    </row>
    <row r="13" spans="2:8" x14ac:dyDescent="0.3">
      <c r="D13" s="1"/>
    </row>
    <row r="14" spans="2:8" x14ac:dyDescent="0.3">
      <c r="B14" s="24" t="s">
        <v>4</v>
      </c>
      <c r="C14" s="24" t="s">
        <v>18</v>
      </c>
      <c r="D14" s="24" t="s">
        <v>19</v>
      </c>
      <c r="E14" s="25" t="s">
        <v>20</v>
      </c>
      <c r="F14" s="26" t="s">
        <v>21</v>
      </c>
      <c r="G14" s="24" t="s">
        <v>3</v>
      </c>
      <c r="H14" s="24" t="s">
        <v>22</v>
      </c>
    </row>
    <row r="15" spans="2:8" ht="6" customHeight="1" x14ac:dyDescent="0.3">
      <c r="B15" s="1"/>
    </row>
    <row r="16" spans="2:8" x14ac:dyDescent="0.3">
      <c r="B16" s="1">
        <v>0</v>
      </c>
      <c r="C16" s="2">
        <f>C5</f>
        <v>7500000</v>
      </c>
      <c r="D16" s="2"/>
      <c r="E16" s="27">
        <f>C6</f>
        <v>6</v>
      </c>
      <c r="F16" s="29">
        <f>E16*C16</f>
        <v>45000000</v>
      </c>
      <c r="G16" s="2">
        <f>C10</f>
        <v>32500000</v>
      </c>
      <c r="H16" s="2">
        <f>C9</f>
        <v>12500000</v>
      </c>
    </row>
    <row r="17" spans="2:8" x14ac:dyDescent="0.3">
      <c r="B17" s="1">
        <v>1</v>
      </c>
      <c r="C17" s="2">
        <f>C16*(1+D17)</f>
        <v>7762499.9999999991</v>
      </c>
      <c r="D17" s="32">
        <v>3.5000000000000003E-2</v>
      </c>
      <c r="E17" s="28">
        <v>6.5</v>
      </c>
      <c r="F17" s="29">
        <f t="shared" ref="F17:F21" si="0">E17*C17</f>
        <v>50456249.999999993</v>
      </c>
      <c r="G17" s="2">
        <f>G16-$C$12</f>
        <v>28500000</v>
      </c>
      <c r="H17" s="2">
        <f>F17-G17</f>
        <v>21956249.999999993</v>
      </c>
    </row>
    <row r="18" spans="2:8" x14ac:dyDescent="0.3">
      <c r="B18" s="1">
        <v>2</v>
      </c>
      <c r="C18" s="2">
        <f t="shared" ref="C18:C21" si="1">C17*(1+D18)</f>
        <v>8034187.4999999981</v>
      </c>
      <c r="D18" s="32">
        <v>3.5000000000000003E-2</v>
      </c>
      <c r="E18" s="28">
        <v>6.5</v>
      </c>
      <c r="F18" s="29">
        <f t="shared" si="0"/>
        <v>52222218.749999985</v>
      </c>
      <c r="G18" s="2">
        <f t="shared" ref="G18:G21" si="2">G17-$C$12</f>
        <v>24500000</v>
      </c>
      <c r="H18" s="2">
        <f t="shared" ref="H18:H21" si="3">F18-G18</f>
        <v>27722218.749999985</v>
      </c>
    </row>
    <row r="19" spans="2:8" x14ac:dyDescent="0.3">
      <c r="B19" s="1">
        <v>3</v>
      </c>
      <c r="C19" s="2">
        <f t="shared" si="1"/>
        <v>8315384.0624999972</v>
      </c>
      <c r="D19" s="32">
        <v>3.5000000000000003E-2</v>
      </c>
      <c r="E19" s="28">
        <v>6.5</v>
      </c>
      <c r="F19" s="29">
        <f t="shared" si="0"/>
        <v>54049996.406249985</v>
      </c>
      <c r="G19" s="2">
        <f t="shared" si="2"/>
        <v>20500000</v>
      </c>
      <c r="H19" s="2">
        <f t="shared" si="3"/>
        <v>33549996.406249985</v>
      </c>
    </row>
    <row r="20" spans="2:8" x14ac:dyDescent="0.3">
      <c r="B20" s="1">
        <v>4</v>
      </c>
      <c r="C20" s="2">
        <f t="shared" si="1"/>
        <v>8564845.5843749978</v>
      </c>
      <c r="D20" s="32">
        <v>0.03</v>
      </c>
      <c r="E20" s="28">
        <v>6.5</v>
      </c>
      <c r="F20" s="29">
        <f t="shared" si="0"/>
        <v>55671496.298437484</v>
      </c>
      <c r="G20" s="2">
        <f t="shared" si="2"/>
        <v>16500000</v>
      </c>
      <c r="H20" s="2">
        <f t="shared" si="3"/>
        <v>39171496.298437484</v>
      </c>
    </row>
    <row r="21" spans="2:8" x14ac:dyDescent="0.3">
      <c r="B21" s="1">
        <v>5</v>
      </c>
      <c r="C21" s="2">
        <f t="shared" si="1"/>
        <v>8821790.9519062471</v>
      </c>
      <c r="D21" s="32">
        <v>0.03</v>
      </c>
      <c r="E21" s="28">
        <v>6.5</v>
      </c>
      <c r="F21" s="29">
        <f t="shared" si="0"/>
        <v>57341641.187390603</v>
      </c>
      <c r="G21" s="2">
        <f t="shared" si="2"/>
        <v>12500000</v>
      </c>
      <c r="H21" s="2">
        <f t="shared" si="3"/>
        <v>44841641.187390603</v>
      </c>
    </row>
    <row r="23" spans="2:8" x14ac:dyDescent="0.3">
      <c r="B23" t="s">
        <v>9</v>
      </c>
      <c r="C23" s="2">
        <f>H21-H16</f>
        <v>32341641.187390603</v>
      </c>
      <c r="E23" t="s">
        <v>13</v>
      </c>
    </row>
    <row r="24" spans="2:8" x14ac:dyDescent="0.3">
      <c r="B24" t="s">
        <v>10</v>
      </c>
      <c r="C24" s="10">
        <f>H21/H16</f>
        <v>3.5873312949912481</v>
      </c>
    </row>
    <row r="26" spans="2:8" x14ac:dyDescent="0.3">
      <c r="B26" s="12" t="s">
        <v>11</v>
      </c>
      <c r="C26" s="30">
        <f>_xlfn.RRI(5,H16,H21)</f>
        <v>0.29108339996945332</v>
      </c>
      <c r="D26" s="4"/>
    </row>
    <row r="27" spans="2:8" x14ac:dyDescent="0.3">
      <c r="B27" s="14" t="s">
        <v>12</v>
      </c>
      <c r="C27" s="31">
        <f>H21/H16</f>
        <v>3.5873312949912481</v>
      </c>
      <c r="D27" s="11"/>
    </row>
  </sheetData>
  <mergeCells count="2">
    <mergeCell ref="B1:F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dcterms:created xsi:type="dcterms:W3CDTF">2015-06-05T18:17:20Z</dcterms:created>
  <dcterms:modified xsi:type="dcterms:W3CDTF">2026-01-08T05:11:49Z</dcterms:modified>
</cp:coreProperties>
</file>