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\OneDrive\Desktop\Financial_Modelling\"/>
    </mc:Choice>
  </mc:AlternateContent>
  <xr:revisionPtr revIDLastSave="0" documentId="13_ncr:1_{F13C033C-6D70-45FE-BAF6-E8D240B5F54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put Sheet" sheetId="8" r:id="rId1"/>
    <sheet name="share price" sheetId="9" r:id="rId2"/>
    <sheet name="teaser" sheetId="7" r:id="rId3"/>
    <sheet name="Profit &amp; Loss" sheetId="1" r:id="rId4"/>
    <sheet name="Quarters" sheetId="3" r:id="rId5"/>
    <sheet name="Balance Sheet" sheetId="2" r:id="rId6"/>
    <sheet name="Cash Flow" sheetId="4" r:id="rId7"/>
    <sheet name="Customization" sheetId="5" r:id="rId8"/>
    <sheet name="Data Sheet" sheetId="6" r:id="rId9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9" i="7" l="1"/>
  <c r="K46" i="7"/>
  <c r="K47" i="7"/>
  <c r="K45" i="7"/>
  <c r="K44" i="7"/>
  <c r="K43" i="7"/>
  <c r="F37" i="7"/>
  <c r="M51" i="7"/>
  <c r="M52" i="7"/>
  <c r="E39" i="7"/>
  <c r="E38" i="7"/>
  <c r="E37" i="7"/>
  <c r="E36" i="7"/>
  <c r="E35" i="7"/>
  <c r="E34" i="7"/>
  <c r="E33" i="7"/>
  <c r="E32" i="7"/>
  <c r="E31" i="7"/>
  <c r="E30" i="7"/>
  <c r="F31" i="7"/>
  <c r="F32" i="7"/>
  <c r="F33" i="7"/>
  <c r="F34" i="7"/>
  <c r="F35" i="7"/>
  <c r="F36" i="7"/>
  <c r="F38" i="7"/>
  <c r="F39" i="7"/>
  <c r="F30" i="7"/>
  <c r="C31" i="7"/>
  <c r="C32" i="7"/>
  <c r="C33" i="7"/>
  <c r="C34" i="7"/>
  <c r="C35" i="7"/>
  <c r="C36" i="7"/>
  <c r="C37" i="7"/>
  <c r="C38" i="7"/>
  <c r="C39" i="7"/>
  <c r="C30" i="7"/>
  <c r="B30" i="7" a="1"/>
  <c r="B30" i="7" s="1"/>
  <c r="O38" i="7"/>
  <c r="O39" i="7"/>
  <c r="O40" i="7"/>
  <c r="O41" i="7"/>
  <c r="O42" i="7"/>
  <c r="O43" i="7"/>
  <c r="O44" i="7"/>
  <c r="O45" i="7"/>
  <c r="O46" i="7"/>
  <c r="O47" i="7"/>
  <c r="M38" i="7"/>
  <c r="M47" i="7"/>
  <c r="M46" i="7"/>
  <c r="M45" i="7"/>
  <c r="M43" i="7"/>
  <c r="M41" i="7"/>
  <c r="M40" i="7"/>
  <c r="M39" i="7"/>
  <c r="C4" i="7"/>
  <c r="D26" i="7" l="1"/>
  <c r="E26" i="7"/>
  <c r="F26" i="7"/>
  <c r="G26" i="7"/>
  <c r="C26" i="7"/>
  <c r="D25" i="7"/>
  <c r="E25" i="7"/>
  <c r="F25" i="7"/>
  <c r="G25" i="7"/>
  <c r="C25" i="7"/>
  <c r="D24" i="7"/>
  <c r="E24" i="7"/>
  <c r="F24" i="7"/>
  <c r="G24" i="7"/>
  <c r="C24" i="7"/>
  <c r="D23" i="7"/>
  <c r="E23" i="7"/>
  <c r="F23" i="7"/>
  <c r="G23" i="7"/>
  <c r="C23" i="7"/>
  <c r="D22" i="7"/>
  <c r="E22" i="7"/>
  <c r="F22" i="7"/>
  <c r="G22" i="7"/>
  <c r="C22" i="7"/>
  <c r="D21" i="7"/>
  <c r="E21" i="7"/>
  <c r="F21" i="7"/>
  <c r="G21" i="7"/>
  <c r="C21" i="7"/>
  <c r="J33" i="1"/>
  <c r="K33" i="1"/>
  <c r="C33" i="1"/>
  <c r="D33" i="1"/>
  <c r="E33" i="1"/>
  <c r="F33" i="1"/>
  <c r="G33" i="1"/>
  <c r="H33" i="1"/>
  <c r="I33" i="1"/>
  <c r="B33" i="1"/>
  <c r="C26" i="2"/>
  <c r="D26" i="2"/>
  <c r="E26" i="2"/>
  <c r="F26" i="2"/>
  <c r="G26" i="2"/>
  <c r="H26" i="2"/>
  <c r="I26" i="2"/>
  <c r="J26" i="2"/>
  <c r="K26" i="2"/>
  <c r="B26" i="2"/>
  <c r="C32" i="1"/>
  <c r="D32" i="1"/>
  <c r="E32" i="1"/>
  <c r="F32" i="1"/>
  <c r="G32" i="1"/>
  <c r="H32" i="1"/>
  <c r="I32" i="1"/>
  <c r="J32" i="1"/>
  <c r="K32" i="1"/>
  <c r="B32" i="1"/>
  <c r="C31" i="1"/>
  <c r="D31" i="1"/>
  <c r="E31" i="1"/>
  <c r="F31" i="1"/>
  <c r="G31" i="1"/>
  <c r="H31" i="1"/>
  <c r="I31" i="1"/>
  <c r="J31" i="1"/>
  <c r="K31" i="1"/>
  <c r="B31" i="1"/>
  <c r="C30" i="1"/>
  <c r="D30" i="1"/>
  <c r="E30" i="1"/>
  <c r="F30" i="1"/>
  <c r="G30" i="1"/>
  <c r="H30" i="1"/>
  <c r="I30" i="1"/>
  <c r="J30" i="1"/>
  <c r="K30" i="1"/>
  <c r="B30" i="1"/>
  <c r="C29" i="1"/>
  <c r="D29" i="1"/>
  <c r="E29" i="1"/>
  <c r="F29" i="1"/>
  <c r="G29" i="1"/>
  <c r="H29" i="1"/>
  <c r="I29" i="1"/>
  <c r="J29" i="1"/>
  <c r="K29" i="1"/>
  <c r="B29" i="1"/>
  <c r="C28" i="1"/>
  <c r="D28" i="1"/>
  <c r="E28" i="1"/>
  <c r="F28" i="1"/>
  <c r="G28" i="1"/>
  <c r="H28" i="1"/>
  <c r="I28" i="1"/>
  <c r="J28" i="1"/>
  <c r="K28" i="1"/>
  <c r="B28" i="1"/>
  <c r="C27" i="1"/>
  <c r="D27" i="1"/>
  <c r="E27" i="1"/>
  <c r="F27" i="1"/>
  <c r="G27" i="1"/>
  <c r="H27" i="1"/>
  <c r="I27" i="1"/>
  <c r="J27" i="1"/>
  <c r="K27" i="1"/>
  <c r="B27" i="1"/>
  <c r="D17" i="7"/>
  <c r="E17" i="7"/>
  <c r="F17" i="7"/>
  <c r="G17" i="7"/>
  <c r="C17" i="7"/>
  <c r="D16" i="7"/>
  <c r="E16" i="7"/>
  <c r="F16" i="7"/>
  <c r="G16" i="7"/>
  <c r="C16" i="7"/>
  <c r="D104" i="6"/>
  <c r="E104" i="6"/>
  <c r="F104" i="6"/>
  <c r="G104" i="6"/>
  <c r="H104" i="6"/>
  <c r="I104" i="6"/>
  <c r="J104" i="6"/>
  <c r="K104" i="6"/>
  <c r="C104" i="6"/>
  <c r="C103" i="6"/>
  <c r="D103" i="6"/>
  <c r="E103" i="6"/>
  <c r="F103" i="6"/>
  <c r="G103" i="6"/>
  <c r="H103" i="6"/>
  <c r="I103" i="6"/>
  <c r="J103" i="6"/>
  <c r="K103" i="6"/>
  <c r="B103" i="6"/>
  <c r="D15" i="7"/>
  <c r="E15" i="7"/>
  <c r="F15" i="7"/>
  <c r="G15" i="7"/>
  <c r="C15" i="7"/>
  <c r="D102" i="6"/>
  <c r="E102" i="6"/>
  <c r="F102" i="6"/>
  <c r="G102" i="6"/>
  <c r="H102" i="6"/>
  <c r="I102" i="6"/>
  <c r="J102" i="6"/>
  <c r="K102" i="6"/>
  <c r="C102" i="6"/>
  <c r="D14" i="7"/>
  <c r="E14" i="7"/>
  <c r="F14" i="7"/>
  <c r="G14" i="7"/>
  <c r="C14" i="7"/>
  <c r="D13" i="7"/>
  <c r="E13" i="7"/>
  <c r="F13" i="7"/>
  <c r="G13" i="7"/>
  <c r="C13" i="7"/>
  <c r="C101" i="6"/>
  <c r="D101" i="6"/>
  <c r="E101" i="6"/>
  <c r="F101" i="6"/>
  <c r="G101" i="6"/>
  <c r="H101" i="6"/>
  <c r="I101" i="6"/>
  <c r="J101" i="6"/>
  <c r="K101" i="6"/>
  <c r="B101" i="6"/>
  <c r="D12" i="7"/>
  <c r="E12" i="7"/>
  <c r="F12" i="7"/>
  <c r="G12" i="7"/>
  <c r="C12" i="7"/>
  <c r="C100" i="6"/>
  <c r="D100" i="6"/>
  <c r="E100" i="6"/>
  <c r="F100" i="6"/>
  <c r="G100" i="6"/>
  <c r="H100" i="6"/>
  <c r="I100" i="6"/>
  <c r="J100" i="6"/>
  <c r="K100" i="6"/>
  <c r="B100" i="6"/>
  <c r="D10" i="7"/>
  <c r="E10" i="7"/>
  <c r="F10" i="7"/>
  <c r="G10" i="7"/>
  <c r="C10" i="7"/>
  <c r="D11" i="7"/>
  <c r="E11" i="7"/>
  <c r="F11" i="7"/>
  <c r="G11" i="7"/>
  <c r="C11" i="7"/>
  <c r="C99" i="6"/>
  <c r="D99" i="6"/>
  <c r="E99" i="6"/>
  <c r="F99" i="6"/>
  <c r="G99" i="6"/>
  <c r="H99" i="6"/>
  <c r="I99" i="6"/>
  <c r="J99" i="6"/>
  <c r="K99" i="6"/>
  <c r="B99" i="6"/>
  <c r="C98" i="6"/>
  <c r="D98" i="6"/>
  <c r="E98" i="6"/>
  <c r="F98" i="6"/>
  <c r="G98" i="6"/>
  <c r="H98" i="6"/>
  <c r="I98" i="6"/>
  <c r="J98" i="6"/>
  <c r="K98" i="6"/>
  <c r="B98" i="6"/>
  <c r="C97" i="6"/>
  <c r="D97" i="6"/>
  <c r="E97" i="6"/>
  <c r="F97" i="6"/>
  <c r="G97" i="6"/>
  <c r="H97" i="6"/>
  <c r="I97" i="6"/>
  <c r="J97" i="6"/>
  <c r="K97" i="6"/>
  <c r="B97" i="6"/>
  <c r="D9" i="7"/>
  <c r="E9" i="7"/>
  <c r="F9" i="7"/>
  <c r="G9" i="7"/>
  <c r="C9" i="7"/>
  <c r="H95" i="6"/>
  <c r="I95" i="6"/>
  <c r="J95" i="6"/>
  <c r="K95" i="6"/>
  <c r="G95" i="6"/>
  <c r="D8" i="7"/>
  <c r="E8" i="7"/>
  <c r="F8" i="7"/>
  <c r="G8" i="7"/>
  <c r="C8" i="7"/>
  <c r="D6" i="7"/>
  <c r="E6" i="7"/>
  <c r="F6" i="7"/>
  <c r="G6" i="7"/>
  <c r="C6" i="7"/>
  <c r="B2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K6" i="1" s="1"/>
  <c r="K19" i="1" s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F18" i="2"/>
  <c r="G18" i="2"/>
  <c r="H18" i="2"/>
  <c r="I18" i="2"/>
  <c r="J18" i="2"/>
  <c r="K18" i="2"/>
  <c r="B17" i="2"/>
  <c r="C4" i="2"/>
  <c r="D4" i="2"/>
  <c r="E4" i="2"/>
  <c r="E5" i="2"/>
  <c r="E23" i="2" s="1"/>
  <c r="F4" i="2"/>
  <c r="G4" i="2"/>
  <c r="H4" i="2"/>
  <c r="I4" i="2"/>
  <c r="I23" i="2" s="1"/>
  <c r="I5" i="2"/>
  <c r="J4" i="2"/>
  <c r="J5" i="2"/>
  <c r="J23" i="2" s="1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E16" i="2" s="1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L5" i="1" s="1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L12" i="1" s="1"/>
  <c r="L13" i="1" s="1"/>
  <c r="L14" i="1" s="1"/>
  <c r="L25" i="1" s="1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I23" i="1" s="1"/>
  <c r="E4" i="1"/>
  <c r="E20" i="2" s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G23" i="2" s="1"/>
  <c r="H12" i="1"/>
  <c r="I12" i="1"/>
  <c r="I13" i="1" s="1"/>
  <c r="J12" i="1"/>
  <c r="J13" i="1" s="1"/>
  <c r="J14" i="1" s="1"/>
  <c r="K12" i="1"/>
  <c r="K23" i="2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A1" i="1"/>
  <c r="E1" i="6"/>
  <c r="H1" i="1" s="1"/>
  <c r="E1" i="2"/>
  <c r="E1" i="3"/>
  <c r="H16" i="2"/>
  <c r="F23" i="2"/>
  <c r="C23" i="2"/>
  <c r="K16" i="2"/>
  <c r="F16" i="2"/>
  <c r="H23" i="2"/>
  <c r="J6" i="1"/>
  <c r="J19" i="1" s="1"/>
  <c r="G6" i="1"/>
  <c r="G19" i="1" s="1"/>
  <c r="C6" i="1"/>
  <c r="C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G21" i="2"/>
  <c r="F21" i="2"/>
  <c r="E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23" i="2" s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L10" i="1"/>
  <c r="L6" i="1"/>
  <c r="L4" i="1"/>
  <c r="L23" i="1" s="1"/>
  <c r="A1" i="3"/>
  <c r="A1" i="2"/>
  <c r="A1" i="4" s="1"/>
  <c r="H23" i="1"/>
  <c r="J23" i="1"/>
  <c r="F14" i="1" l="1"/>
  <c r="B13" i="1"/>
  <c r="B14" i="1" s="1"/>
  <c r="L19" i="1"/>
  <c r="L24" i="1" s="1"/>
  <c r="F20" i="2"/>
  <c r="E24" i="2"/>
  <c r="G13" i="1"/>
  <c r="G14" i="1" s="1"/>
  <c r="D24" i="2"/>
  <c r="K24" i="2"/>
  <c r="D6" i="1"/>
  <c r="D19" i="1" s="1"/>
  <c r="H24" i="1" s="1"/>
  <c r="E6" i="1"/>
  <c r="E19" i="1" s="1"/>
  <c r="I24" i="1" s="1"/>
  <c r="I14" i="1"/>
  <c r="K25" i="1" s="1"/>
  <c r="M25" i="1" s="1"/>
  <c r="M14" i="1" s="1"/>
  <c r="C24" i="2"/>
  <c r="K13" i="1"/>
  <c r="K14" i="1" s="1"/>
  <c r="H21" i="2"/>
  <c r="H14" i="1"/>
  <c r="J16" i="2"/>
  <c r="D13" i="1"/>
  <c r="E13" i="1" s="1"/>
  <c r="E14" i="1" s="1"/>
  <c r="I25" i="1" s="1"/>
  <c r="N11" i="1"/>
  <c r="J24" i="2"/>
  <c r="D14" i="3"/>
  <c r="M11" i="1"/>
  <c r="B20" i="2"/>
  <c r="I24" i="2"/>
  <c r="H24" i="2"/>
  <c r="B16" i="2"/>
  <c r="G24" i="2"/>
  <c r="K24" i="1"/>
  <c r="I6" i="1"/>
  <c r="I19" i="1" s="1"/>
  <c r="F24" i="2"/>
  <c r="J25" i="1"/>
  <c r="M24" i="1"/>
  <c r="M9" i="1"/>
  <c r="N9" i="1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E1" i="4"/>
  <c r="N24" i="1" l="1"/>
  <c r="N23" i="1"/>
  <c r="N4" i="1" s="1"/>
  <c r="D14" i="1"/>
  <c r="H25" i="1" s="1"/>
  <c r="N25" i="1" s="1"/>
  <c r="N14" i="1" s="1"/>
  <c r="N15" i="1" s="1"/>
  <c r="N6" i="1"/>
  <c r="N10" i="1" s="1"/>
  <c r="N12" i="1" s="1"/>
  <c r="N13" i="1" s="1"/>
  <c r="N5" i="1"/>
  <c r="M6" i="1"/>
  <c r="M10" i="1" s="1"/>
  <c r="M12" i="1" s="1"/>
  <c r="M13" i="1" s="1"/>
  <c r="M15" i="1" s="1"/>
  <c r="M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<sst xmlns="http://schemas.openxmlformats.org/spreadsheetml/2006/main" count="239" uniqueCount="185">
  <si>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</si>
  <si>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</si>
  <si>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</si>
  <si>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</si>
  <si>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</si>
  <si>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</si>
  <si>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</si>
  <si>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</si>
  <si>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</si>
  <si>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</si>
  <si>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</si>
  <si>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</si>
  <si>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</si>
  <si>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</si>
  <si>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</si>
  <si>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</si>
  <si>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</si>
  <si>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</si>
  <si>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</si>
  <si>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</si>
  <si>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</si>
  <si>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</si>
  <si>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</si>
  <si>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</si>
  <si>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</si>
  <si>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</si>
  <si>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</si>
  <si>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</si>
  <si>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</si>
  <si>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</si>
  <si>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</si>
  <si>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</si>
  <si>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</si>
  <si>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</si>
  <si>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</si>
  <si>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</si>
  <si>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</si>
  <si>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</si>
  <si>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</si>
  <si>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</si>
  <si>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</si>
  <si>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</si>
  <si>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</si>
  <si>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</si>
  <si>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</si>
  <si>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</si>
  <si>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</si>
  <si>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</si>
  <si>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</si>
  <si>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</si>
  <si>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</si>
  <si>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</si>
  <si>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</si>
  <si>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</si>
  <si>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</si>
  <si>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</si>
  <si>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</si>
  <si>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</si>
  <si>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</si>
  <si>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</si>
  <si>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</si>
  <si>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</si>
  <si>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</si>
  <si>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</si>
  <si>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</si>
  <si>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</si>
  <si>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</si>
  <si>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</si>
  <si>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</si>
  <si>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</si>
  <si>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</si>
  <si>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</si>
  <si>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</si>
  <si>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</si>
  <si>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</si>
  <si>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</si>
  <si>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</si>
  <si>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</si>
  <si>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</si>
  <si>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</si>
  <si>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</si>
  <si>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</si>
  <si>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</si>
  <si>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</si>
  <si>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</si>
  <si>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</si>
  <si>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</si>
  <si>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</si>
  <si>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</si>
  <si>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</si>
  <si>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</si>
  <si>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</si>
  <si>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</si>
  <si>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company Description</t>
  </si>
  <si>
    <t>ITC Limited is an Indian conglomerate, headquartered in Kolkata. It has a presence across six business segments, namely FMCG, agribusiness, information technology, paper products, and packaging. It generates a plurality of its revenue from tobacco products.</t>
  </si>
  <si>
    <t>Key Financial Metrics</t>
  </si>
  <si>
    <t>Total Sales</t>
  </si>
  <si>
    <t>INR(Crs)</t>
  </si>
  <si>
    <t>sales growth YoY</t>
  </si>
  <si>
    <t>Sales growth (y-o-y)</t>
  </si>
  <si>
    <t>gross profit</t>
  </si>
  <si>
    <t>GPM</t>
  </si>
  <si>
    <t>Gross Profit Margins (%)</t>
  </si>
  <si>
    <t>EBIDTA Margins</t>
  </si>
  <si>
    <t>EBIDTA Margins (%)</t>
  </si>
  <si>
    <t>EBIT Margins (%)</t>
  </si>
  <si>
    <t>EBIT Margins</t>
  </si>
  <si>
    <t>Net Margins</t>
  </si>
  <si>
    <t>Net Profit Margins (%)</t>
  </si>
  <si>
    <t>EPS growth YoY</t>
  </si>
  <si>
    <t>EPS growth( y-o-y)</t>
  </si>
  <si>
    <t>Dividend per share</t>
  </si>
  <si>
    <t>Dividend Growth</t>
  </si>
  <si>
    <t>Earnings Per Share (in Rs)</t>
  </si>
  <si>
    <t>Dividend Per Share (in Rs)</t>
  </si>
  <si>
    <t>Dividend Growth (y-o-y)</t>
  </si>
  <si>
    <t>ITCEQN</t>
  </si>
  <si>
    <t>Date</t>
  </si>
  <si>
    <t>Chart</t>
  </si>
  <si>
    <t>Debt</t>
  </si>
  <si>
    <t>Cash</t>
  </si>
  <si>
    <t>Enterprise Value</t>
  </si>
  <si>
    <t>EV/EBIDTA</t>
  </si>
  <si>
    <t>EV/Sales</t>
  </si>
  <si>
    <t>Book Value</t>
  </si>
  <si>
    <t>P/B</t>
  </si>
  <si>
    <t>Share Price 5Y</t>
  </si>
  <si>
    <t>Key Financial Ratios</t>
  </si>
  <si>
    <t>Price to earnings</t>
  </si>
  <si>
    <t>EV / EBIDTA</t>
  </si>
  <si>
    <t>EV / Sales</t>
  </si>
  <si>
    <t>Price to Book Value</t>
  </si>
  <si>
    <t>Return on Equity (%)</t>
  </si>
  <si>
    <t>Return on Capital Employed (%)</t>
  </si>
  <si>
    <t>Shareholder's name</t>
  </si>
  <si>
    <t>Tobacco Manufacturers (India) Limited</t>
  </si>
  <si>
    <t>Life Insurance Corporation of India</t>
  </si>
  <si>
    <t>Specified Undertaking of the Unit Trust of India</t>
  </si>
  <si>
    <t>Myddleton Investment Company Limited</t>
  </si>
  <si>
    <t>SBI Mutual Funds</t>
  </si>
  <si>
    <t>QIB - Insurance Company Registered</t>
  </si>
  <si>
    <t>ICICI Prudential Mutual Funds</t>
  </si>
  <si>
    <t>GQG Partners Emerging Markets Equity Fund</t>
  </si>
  <si>
    <t>General Insurance Corporation of India</t>
  </si>
  <si>
    <t>Total Shares Held (In Crs)</t>
  </si>
  <si>
    <t>Top 10 Shareholders</t>
  </si>
  <si>
    <t>N. shares  (in crs)</t>
  </si>
  <si>
    <t>(% holding)</t>
  </si>
  <si>
    <t>Market Value (in Crs.)</t>
  </si>
  <si>
    <t>% holding</t>
  </si>
  <si>
    <t>Market Value(in Crs)</t>
  </si>
  <si>
    <t>Goldman Sachs Trust II</t>
  </si>
  <si>
    <t>FII</t>
  </si>
  <si>
    <t>DII</t>
  </si>
  <si>
    <t xml:space="preserve">Public &amp; Government </t>
  </si>
  <si>
    <t>Holding Pattern</t>
  </si>
  <si>
    <t>Government</t>
  </si>
  <si>
    <t>DATE</t>
  </si>
  <si>
    <t>VOLUME</t>
  </si>
  <si>
    <t>Volume 1 Y</t>
  </si>
  <si>
    <t>Capital Structure</t>
  </si>
  <si>
    <t>Share Price on xxx</t>
  </si>
  <si>
    <t>No. of shares outstanding</t>
  </si>
  <si>
    <t>Market Capitalzation</t>
  </si>
  <si>
    <t>Less : cash and cash eq.</t>
  </si>
  <si>
    <t>Add : total debt</t>
  </si>
  <si>
    <t>Add : minority interest</t>
  </si>
  <si>
    <t>Enterprise value</t>
  </si>
  <si>
    <t>Managerial Remuneration</t>
  </si>
  <si>
    <t>Designation</t>
  </si>
  <si>
    <t xml:space="preserve">X of Median Salary </t>
  </si>
  <si>
    <t>Remuneration</t>
  </si>
  <si>
    <t>Mr. Sanjeev Puri</t>
  </si>
  <si>
    <t>Chairman and MD</t>
  </si>
  <si>
    <t>Mr. Supritam Dutta</t>
  </si>
  <si>
    <t>N Anand</t>
  </si>
  <si>
    <t>B Sumant</t>
  </si>
  <si>
    <t>ED</t>
  </si>
  <si>
    <t>Exe. Dir. (ED) &amp; CFO</t>
  </si>
  <si>
    <t>Recent Updates</t>
  </si>
  <si>
    <r>
      <rPr>
        <b/>
        <sz val="11"/>
        <color theme="1"/>
        <rFont val="Calibri"/>
        <family val="2"/>
        <scheme val="minor"/>
      </rPr>
      <t>Indian govt raised cigarette excise duty (effective Feb 1, 2026)</t>
    </r>
    <r>
      <rPr>
        <sz val="11"/>
        <color theme="1"/>
        <rFont val="Calibri"/>
        <family val="2"/>
        <scheme val="minor"/>
      </rPr>
      <t>, impacting all tobacco firms including ITC</t>
    </r>
    <r>
      <rPr>
        <b/>
        <sz val="11"/>
        <color theme="1"/>
        <rFont val="Calibri"/>
        <family val="2"/>
        <scheme val="minor"/>
      </rPr>
      <t xml:space="preserve"> (Source: Reuters).</t>
    </r>
  </si>
  <si>
    <r>
      <rPr>
        <b/>
        <sz val="11"/>
        <color theme="1"/>
        <rFont val="Calibri"/>
        <family val="2"/>
        <scheme val="minor"/>
      </rPr>
      <t>ITC shares fell ~9–10% in one session</t>
    </r>
    <r>
      <rPr>
        <sz val="11"/>
        <color theme="1"/>
        <rFont val="Calibri"/>
        <family val="2"/>
        <scheme val="minor"/>
      </rPr>
      <t xml:space="preserve"> after the tax announcement </t>
    </r>
    <r>
      <rPr>
        <b/>
        <sz val="11"/>
        <color theme="1"/>
        <rFont val="Calibri"/>
        <family val="2"/>
        <scheme val="minor"/>
      </rPr>
      <t>(Source: Reuters).</t>
    </r>
  </si>
  <si>
    <r>
      <rPr>
        <b/>
        <sz val="11"/>
        <color theme="1"/>
        <rFont val="Calibri"/>
        <family val="2"/>
        <scheme val="minor"/>
      </rPr>
      <t>Stock dropped ~14% in two days</t>
    </r>
    <r>
      <rPr>
        <sz val="11"/>
        <color theme="1"/>
        <rFont val="Calibri"/>
        <family val="2"/>
        <scheme val="minor"/>
      </rPr>
      <t xml:space="preserve">, hitting a ~3-year low (~₹345) </t>
    </r>
    <r>
      <rPr>
        <b/>
        <sz val="11"/>
        <color theme="1"/>
        <rFont val="Calibri"/>
        <family val="2"/>
        <scheme val="minor"/>
      </rPr>
      <t>(Source: Times of India)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</si>
  <si>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Cigarette prices may rise up to ~20%</t>
    </r>
    <r>
      <rPr>
        <sz val="11"/>
        <color theme="1"/>
        <rFont val="Calibri"/>
        <family val="2"/>
        <scheme val="minor"/>
      </rPr>
      <t>, potentially hurting demand</t>
    </r>
    <r>
      <rPr>
        <b/>
        <sz val="11"/>
        <color theme="1"/>
        <rFont val="Calibri"/>
        <family val="2"/>
        <scheme val="minor"/>
      </rPr>
      <t xml:space="preserve"> (Source: Economic Times)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</si>
  <si>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Brokerages downgraded ITC</t>
    </r>
    <r>
      <rPr>
        <sz val="11"/>
        <color theme="1"/>
        <rFont val="Calibri"/>
        <family val="2"/>
        <scheme val="minor"/>
      </rPr>
      <t>, citing earnings and volume pressure</t>
    </r>
    <r>
      <rPr>
        <b/>
        <sz val="11"/>
        <color theme="1"/>
        <rFont val="Calibri"/>
        <family val="2"/>
        <scheme val="minor"/>
      </rPr>
      <t xml:space="preserve"> (Source: Times of India)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</si>
</sst>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"/>
    <numFmt numFmtId="167" formatCode="#,##0.00\x"/>
    <numFmt numFmtId="168" formatCode="0&quot;x&quot;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rgb="FF202122"/>
      <name val="Arial"/>
      <family val="2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 Unicode MS"/>
    </font>
    <font>
      <sz val="12"/>
      <color theme="0"/>
      <name val="Calibri"/>
      <family val="2"/>
      <scheme val="minor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11" fillId="7" borderId="0" xfId="0" applyFont="1" applyFill="1" applyAlignment="1">
      <alignment wrapText="1"/>
    </xf>
    <xf numFmtId="0" fontId="0" fillId="7" borderId="0" xfId="0" applyFill="1"/>
    <xf numFmtId="0" fontId="10" fillId="0" borderId="0" xfId="0" applyFont="1" applyAlignment="1">
      <alignment horizontal="center"/>
    </xf>
    <xf numFmtId="0" fontId="0" fillId="0" borderId="1" xfId="0" applyBorder="1"/>
    <xf numFmtId="0" fontId="12" fillId="6" borderId="0" xfId="0" applyFont="1" applyFill="1"/>
    <xf numFmtId="17" fontId="2" fillId="6" borderId="0" xfId="0" applyNumberFormat="1" applyFont="1" applyFill="1"/>
    <xf numFmtId="0" fontId="13" fillId="0" borderId="0" xfId="0" applyFont="1"/>
    <xf numFmtId="10" fontId="0" fillId="0" borderId="0" xfId="6" applyNumberFormat="1" applyFont="1" applyBorder="1"/>
    <xf numFmtId="0" fontId="12" fillId="0" borderId="0" xfId="0" applyFont="1"/>
    <xf numFmtId="17" fontId="2" fillId="0" borderId="0" xfId="0" applyNumberFormat="1" applyFont="1"/>
    <xf numFmtId="166" fontId="0" fillId="0" borderId="0" xfId="0" applyNumberFormat="1"/>
    <xf numFmtId="0" fontId="14" fillId="0" borderId="0" xfId="0" applyFont="1" applyAlignment="1">
      <alignment wrapText="1"/>
    </xf>
    <xf numFmtId="1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3" fontId="0" fillId="0" borderId="0" xfId="0" applyNumberFormat="1"/>
    <xf numFmtId="9" fontId="0" fillId="0" borderId="0" xfId="0" applyNumberFormat="1"/>
    <xf numFmtId="0" fontId="12" fillId="6" borderId="0" xfId="0" applyFont="1" applyFill="1" applyAlignment="1">
      <alignment wrapText="1"/>
    </xf>
    <xf numFmtId="15" fontId="0" fillId="0" borderId="0" xfId="0" applyNumberFormat="1"/>
    <xf numFmtId="0" fontId="0" fillId="0" borderId="2" xfId="0" applyBorder="1"/>
    <xf numFmtId="3" fontId="0" fillId="0" borderId="2" xfId="0" applyNumberFormat="1" applyBorder="1"/>
    <xf numFmtId="0" fontId="13" fillId="0" borderId="2" xfId="0" applyFont="1" applyBorder="1"/>
    <xf numFmtId="10" fontId="13" fillId="0" borderId="2" xfId="0" applyNumberFormat="1" applyFont="1" applyBorder="1"/>
    <xf numFmtId="10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10" fontId="0" fillId="0" borderId="2" xfId="6" applyNumberFormat="1" applyFont="1" applyBorder="1"/>
    <xf numFmtId="2" fontId="0" fillId="0" borderId="3" xfId="0" applyNumberFormat="1" applyBorder="1"/>
    <xf numFmtId="0" fontId="0" fillId="0" borderId="4" xfId="0" applyBorder="1"/>
    <xf numFmtId="0" fontId="0" fillId="0" borderId="5" xfId="0" applyBorder="1" applyAlignment="1">
      <alignment horizontal="left" indent="1"/>
    </xf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3" fontId="1" fillId="0" borderId="6" xfId="0" applyNumberFormat="1" applyFont="1" applyBorder="1"/>
    <xf numFmtId="0" fontId="0" fillId="6" borderId="0" xfId="0" applyFill="1"/>
    <xf numFmtId="0" fontId="5" fillId="8" borderId="0" xfId="0" applyFont="1" applyFill="1"/>
    <xf numFmtId="10" fontId="18" fillId="8" borderId="0" xfId="6" applyNumberFormat="1" applyFont="1" applyFill="1"/>
    <xf numFmtId="10" fontId="18" fillId="8" borderId="0" xfId="0" applyNumberFormat="1" applyFont="1" applyFill="1"/>
    <xf numFmtId="0" fontId="16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2" fillId="6" borderId="0" xfId="0" applyFont="1" applyFill="1" applyAlignment="1">
      <alignment horizontal="left" wrapText="1"/>
    </xf>
    <xf numFmtId="0" fontId="12" fillId="6" borderId="0" xfId="0" applyFont="1" applyFill="1" applyAlignment="1">
      <alignment horizontal="center" wrapText="1"/>
    </xf>
    <xf numFmtId="0" fontId="17" fillId="6" borderId="0" xfId="0" applyFont="1" applyFill="1" applyAlignment="1">
      <alignment horizontal="center" wrapText="1"/>
    </xf>
    <xf numFmtId="2" fontId="0" fillId="0" borderId="2" xfId="0" applyNumberFormat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0" fillId="0" borderId="3" xfId="0" applyBorder="1"/>
    <xf numFmtId="3" fontId="0" fillId="0" borderId="1" xfId="0" applyNumberFormat="1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0" fillId="6" borderId="0" xfId="0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6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168" fontId="0" fillId="0" borderId="2" xfId="0" applyNumberForma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58705161854769E-2"/>
          <c:y val="2.5428331875182269E-2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price'!$C$3</c:f>
              <c:strCache>
                <c:ptCount val="1"/>
                <c:pt idx="0">
                  <c:v>ITCEQN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'share price'!$B$4:$B$1244</c:f>
              <c:numCache>
                <c:formatCode>m/d/yyyy</c:formatCode>
                <c:ptCount val="1241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44242</c:v>
                </c:pt>
                <c:pt idx="30">
                  <c:v>44243</c:v>
                </c:pt>
                <c:pt idx="31">
                  <c:v>44244</c:v>
                </c:pt>
                <c:pt idx="32">
                  <c:v>44245</c:v>
                </c:pt>
                <c:pt idx="33">
                  <c:v>44246</c:v>
                </c:pt>
                <c:pt idx="34">
                  <c:v>44249</c:v>
                </c:pt>
                <c:pt idx="35">
                  <c:v>44250</c:v>
                </c:pt>
                <c:pt idx="36">
                  <c:v>44251</c:v>
                </c:pt>
                <c:pt idx="37">
                  <c:v>44252</c:v>
                </c:pt>
                <c:pt idx="38">
                  <c:v>44253</c:v>
                </c:pt>
                <c:pt idx="39">
                  <c:v>44256</c:v>
                </c:pt>
                <c:pt idx="40">
                  <c:v>44257</c:v>
                </c:pt>
                <c:pt idx="41">
                  <c:v>44258</c:v>
                </c:pt>
                <c:pt idx="42">
                  <c:v>44259</c:v>
                </c:pt>
                <c:pt idx="43">
                  <c:v>44260</c:v>
                </c:pt>
                <c:pt idx="44">
                  <c:v>44263</c:v>
                </c:pt>
                <c:pt idx="45">
                  <c:v>44264</c:v>
                </c:pt>
                <c:pt idx="46">
                  <c:v>44265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44285</c:v>
                </c:pt>
                <c:pt idx="59">
                  <c:v>44286</c:v>
                </c:pt>
                <c:pt idx="60">
                  <c:v>44287</c:v>
                </c:pt>
                <c:pt idx="61">
                  <c:v>44291</c:v>
                </c:pt>
                <c:pt idx="62">
                  <c:v>44292</c:v>
                </c:pt>
                <c:pt idx="63">
                  <c:v>44293</c:v>
                </c:pt>
                <c:pt idx="64">
                  <c:v>44294</c:v>
                </c:pt>
                <c:pt idx="65">
                  <c:v>44295</c:v>
                </c:pt>
                <c:pt idx="66">
                  <c:v>44298</c:v>
                </c:pt>
                <c:pt idx="67">
                  <c:v>44299</c:v>
                </c:pt>
                <c:pt idx="68">
                  <c:v>44301</c:v>
                </c:pt>
                <c:pt idx="69">
                  <c:v>44302</c:v>
                </c:pt>
                <c:pt idx="70">
                  <c:v>44305</c:v>
                </c:pt>
                <c:pt idx="71">
                  <c:v>44306</c:v>
                </c:pt>
                <c:pt idx="72">
                  <c:v>44308</c:v>
                </c:pt>
                <c:pt idx="73">
                  <c:v>44309</c:v>
                </c:pt>
                <c:pt idx="74">
                  <c:v>44312</c:v>
                </c:pt>
                <c:pt idx="75">
                  <c:v>44313</c:v>
                </c:pt>
                <c:pt idx="76">
                  <c:v>44314</c:v>
                </c:pt>
                <c:pt idx="77">
                  <c:v>44315</c:v>
                </c:pt>
                <c:pt idx="78">
                  <c:v>44316</c:v>
                </c:pt>
                <c:pt idx="79">
                  <c:v>44319</c:v>
                </c:pt>
                <c:pt idx="80">
                  <c:v>44320</c:v>
                </c:pt>
                <c:pt idx="81">
                  <c:v>44321</c:v>
                </c:pt>
                <c:pt idx="82">
                  <c:v>44322</c:v>
                </c:pt>
                <c:pt idx="83">
                  <c:v>44323</c:v>
                </c:pt>
                <c:pt idx="84">
                  <c:v>44326</c:v>
                </c:pt>
                <c:pt idx="85">
                  <c:v>44327</c:v>
                </c:pt>
                <c:pt idx="86">
                  <c:v>44328</c:v>
                </c:pt>
                <c:pt idx="87">
                  <c:v>44330</c:v>
                </c:pt>
                <c:pt idx="88">
                  <c:v>44333</c:v>
                </c:pt>
                <c:pt idx="89">
                  <c:v>44334</c:v>
                </c:pt>
                <c:pt idx="90">
                  <c:v>44335</c:v>
                </c:pt>
                <c:pt idx="91">
                  <c:v>44336</c:v>
                </c:pt>
                <c:pt idx="92">
                  <c:v>44337</c:v>
                </c:pt>
                <c:pt idx="93">
                  <c:v>44340</c:v>
                </c:pt>
                <c:pt idx="94">
                  <c:v>44341</c:v>
                </c:pt>
                <c:pt idx="95">
                  <c:v>44342</c:v>
                </c:pt>
                <c:pt idx="96">
                  <c:v>44343</c:v>
                </c:pt>
                <c:pt idx="97">
                  <c:v>44344</c:v>
                </c:pt>
                <c:pt idx="98">
                  <c:v>44347</c:v>
                </c:pt>
                <c:pt idx="99">
                  <c:v>44348</c:v>
                </c:pt>
                <c:pt idx="100">
                  <c:v>44349</c:v>
                </c:pt>
                <c:pt idx="101">
                  <c:v>44350</c:v>
                </c:pt>
                <c:pt idx="102">
                  <c:v>44351</c:v>
                </c:pt>
                <c:pt idx="103">
                  <c:v>44354</c:v>
                </c:pt>
                <c:pt idx="104">
                  <c:v>44355</c:v>
                </c:pt>
                <c:pt idx="105">
                  <c:v>44356</c:v>
                </c:pt>
                <c:pt idx="106">
                  <c:v>44357</c:v>
                </c:pt>
                <c:pt idx="107">
                  <c:v>44358</c:v>
                </c:pt>
                <c:pt idx="108">
                  <c:v>44361</c:v>
                </c:pt>
                <c:pt idx="109">
                  <c:v>44362</c:v>
                </c:pt>
                <c:pt idx="110">
                  <c:v>44363</c:v>
                </c:pt>
                <c:pt idx="111">
                  <c:v>44364</c:v>
                </c:pt>
                <c:pt idx="112">
                  <c:v>44365</c:v>
                </c:pt>
                <c:pt idx="113">
                  <c:v>44368</c:v>
                </c:pt>
                <c:pt idx="114">
                  <c:v>44369</c:v>
                </c:pt>
                <c:pt idx="115">
                  <c:v>44370</c:v>
                </c:pt>
                <c:pt idx="116">
                  <c:v>44371</c:v>
                </c:pt>
                <c:pt idx="117">
                  <c:v>44372</c:v>
                </c:pt>
                <c:pt idx="118">
                  <c:v>44375</c:v>
                </c:pt>
                <c:pt idx="119">
                  <c:v>44376</c:v>
                </c:pt>
                <c:pt idx="120">
                  <c:v>44377</c:v>
                </c:pt>
                <c:pt idx="121">
                  <c:v>44378</c:v>
                </c:pt>
                <c:pt idx="122">
                  <c:v>44379</c:v>
                </c:pt>
                <c:pt idx="123">
                  <c:v>44382</c:v>
                </c:pt>
                <c:pt idx="124">
                  <c:v>44383</c:v>
                </c:pt>
                <c:pt idx="125">
                  <c:v>44384</c:v>
                </c:pt>
                <c:pt idx="126">
                  <c:v>44385</c:v>
                </c:pt>
                <c:pt idx="127">
                  <c:v>44386</c:v>
                </c:pt>
                <c:pt idx="128">
                  <c:v>44389</c:v>
                </c:pt>
                <c:pt idx="129">
                  <c:v>44390</c:v>
                </c:pt>
                <c:pt idx="130">
                  <c:v>44391</c:v>
                </c:pt>
                <c:pt idx="131">
                  <c:v>44392</c:v>
                </c:pt>
                <c:pt idx="132">
                  <c:v>44393</c:v>
                </c:pt>
                <c:pt idx="133">
                  <c:v>44396</c:v>
                </c:pt>
                <c:pt idx="134">
                  <c:v>44397</c:v>
                </c:pt>
                <c:pt idx="135">
                  <c:v>44399</c:v>
                </c:pt>
                <c:pt idx="136">
                  <c:v>44400</c:v>
                </c:pt>
                <c:pt idx="137">
                  <c:v>44403</c:v>
                </c:pt>
                <c:pt idx="138">
                  <c:v>44404</c:v>
                </c:pt>
                <c:pt idx="139">
                  <c:v>44405</c:v>
                </c:pt>
                <c:pt idx="140">
                  <c:v>44406</c:v>
                </c:pt>
                <c:pt idx="141">
                  <c:v>44407</c:v>
                </c:pt>
                <c:pt idx="142">
                  <c:v>44410</c:v>
                </c:pt>
                <c:pt idx="143">
                  <c:v>44411</c:v>
                </c:pt>
                <c:pt idx="144">
                  <c:v>44412</c:v>
                </c:pt>
                <c:pt idx="145">
                  <c:v>44413</c:v>
                </c:pt>
                <c:pt idx="146">
                  <c:v>44414</c:v>
                </c:pt>
                <c:pt idx="147">
                  <c:v>44417</c:v>
                </c:pt>
                <c:pt idx="148">
                  <c:v>44418</c:v>
                </c:pt>
                <c:pt idx="149">
                  <c:v>44419</c:v>
                </c:pt>
                <c:pt idx="150">
                  <c:v>44420</c:v>
                </c:pt>
                <c:pt idx="151">
                  <c:v>44421</c:v>
                </c:pt>
                <c:pt idx="152">
                  <c:v>44424</c:v>
                </c:pt>
                <c:pt idx="153">
                  <c:v>44425</c:v>
                </c:pt>
                <c:pt idx="154">
                  <c:v>44426</c:v>
                </c:pt>
                <c:pt idx="155">
                  <c:v>44428</c:v>
                </c:pt>
                <c:pt idx="156">
                  <c:v>44431</c:v>
                </c:pt>
                <c:pt idx="157">
                  <c:v>44432</c:v>
                </c:pt>
                <c:pt idx="158">
                  <c:v>44433</c:v>
                </c:pt>
                <c:pt idx="159">
                  <c:v>44434</c:v>
                </c:pt>
                <c:pt idx="160">
                  <c:v>44435</c:v>
                </c:pt>
                <c:pt idx="161">
                  <c:v>44438</c:v>
                </c:pt>
                <c:pt idx="162">
                  <c:v>44439</c:v>
                </c:pt>
                <c:pt idx="163">
                  <c:v>44440</c:v>
                </c:pt>
                <c:pt idx="164">
                  <c:v>44441</c:v>
                </c:pt>
                <c:pt idx="165">
                  <c:v>44442</c:v>
                </c:pt>
                <c:pt idx="166">
                  <c:v>44445</c:v>
                </c:pt>
                <c:pt idx="167">
                  <c:v>44446</c:v>
                </c:pt>
                <c:pt idx="168">
                  <c:v>44447</c:v>
                </c:pt>
                <c:pt idx="169">
                  <c:v>44448</c:v>
                </c:pt>
                <c:pt idx="170">
                  <c:v>44452</c:v>
                </c:pt>
                <c:pt idx="171">
                  <c:v>44453</c:v>
                </c:pt>
                <c:pt idx="172">
                  <c:v>44454</c:v>
                </c:pt>
                <c:pt idx="173">
                  <c:v>44455</c:v>
                </c:pt>
                <c:pt idx="174">
                  <c:v>44456</c:v>
                </c:pt>
                <c:pt idx="175">
                  <c:v>44459</c:v>
                </c:pt>
                <c:pt idx="176">
                  <c:v>44460</c:v>
                </c:pt>
                <c:pt idx="177">
                  <c:v>44461</c:v>
                </c:pt>
                <c:pt idx="178">
                  <c:v>44462</c:v>
                </c:pt>
                <c:pt idx="179">
                  <c:v>44463</c:v>
                </c:pt>
                <c:pt idx="180">
                  <c:v>44466</c:v>
                </c:pt>
                <c:pt idx="181">
                  <c:v>44467</c:v>
                </c:pt>
                <c:pt idx="182">
                  <c:v>44468</c:v>
                </c:pt>
                <c:pt idx="183">
                  <c:v>44469</c:v>
                </c:pt>
                <c:pt idx="184">
                  <c:v>44470</c:v>
                </c:pt>
                <c:pt idx="185">
                  <c:v>44473</c:v>
                </c:pt>
                <c:pt idx="186">
                  <c:v>44474</c:v>
                </c:pt>
                <c:pt idx="187">
                  <c:v>44475</c:v>
                </c:pt>
                <c:pt idx="188">
                  <c:v>44476</c:v>
                </c:pt>
                <c:pt idx="189">
                  <c:v>44477</c:v>
                </c:pt>
                <c:pt idx="190">
                  <c:v>44480</c:v>
                </c:pt>
                <c:pt idx="191">
                  <c:v>44481</c:v>
                </c:pt>
                <c:pt idx="192">
                  <c:v>44482</c:v>
                </c:pt>
                <c:pt idx="193">
                  <c:v>44483</c:v>
                </c:pt>
                <c:pt idx="194">
                  <c:v>44487</c:v>
                </c:pt>
                <c:pt idx="195">
                  <c:v>44488</c:v>
                </c:pt>
                <c:pt idx="196">
                  <c:v>44489</c:v>
                </c:pt>
                <c:pt idx="197">
                  <c:v>44490</c:v>
                </c:pt>
                <c:pt idx="198">
                  <c:v>44491</c:v>
                </c:pt>
                <c:pt idx="199">
                  <c:v>44494</c:v>
                </c:pt>
                <c:pt idx="200">
                  <c:v>44495</c:v>
                </c:pt>
                <c:pt idx="201">
                  <c:v>44496</c:v>
                </c:pt>
                <c:pt idx="202">
                  <c:v>44497</c:v>
                </c:pt>
                <c:pt idx="203">
                  <c:v>44498</c:v>
                </c:pt>
                <c:pt idx="204">
                  <c:v>44501</c:v>
                </c:pt>
                <c:pt idx="205">
                  <c:v>44502</c:v>
                </c:pt>
                <c:pt idx="206">
                  <c:v>44503</c:v>
                </c:pt>
                <c:pt idx="207">
                  <c:v>44504</c:v>
                </c:pt>
                <c:pt idx="208">
                  <c:v>44508</c:v>
                </c:pt>
                <c:pt idx="209">
                  <c:v>44509</c:v>
                </c:pt>
                <c:pt idx="210">
                  <c:v>44510</c:v>
                </c:pt>
                <c:pt idx="211">
                  <c:v>44511</c:v>
                </c:pt>
                <c:pt idx="212">
                  <c:v>44512</c:v>
                </c:pt>
                <c:pt idx="213">
                  <c:v>44515</c:v>
                </c:pt>
                <c:pt idx="214">
                  <c:v>44516</c:v>
                </c:pt>
                <c:pt idx="215">
                  <c:v>44517</c:v>
                </c:pt>
                <c:pt idx="216">
                  <c:v>44518</c:v>
                </c:pt>
                <c:pt idx="217">
                  <c:v>44522</c:v>
                </c:pt>
                <c:pt idx="218">
                  <c:v>44523</c:v>
                </c:pt>
                <c:pt idx="219">
                  <c:v>44524</c:v>
                </c:pt>
                <c:pt idx="220">
                  <c:v>44525</c:v>
                </c:pt>
                <c:pt idx="221">
                  <c:v>44526</c:v>
                </c:pt>
                <c:pt idx="222">
                  <c:v>44529</c:v>
                </c:pt>
                <c:pt idx="223">
                  <c:v>44530</c:v>
                </c:pt>
                <c:pt idx="224">
                  <c:v>44531</c:v>
                </c:pt>
                <c:pt idx="225">
                  <c:v>44532</c:v>
                </c:pt>
                <c:pt idx="226">
                  <c:v>44533</c:v>
                </c:pt>
                <c:pt idx="227">
                  <c:v>44536</c:v>
                </c:pt>
                <c:pt idx="228">
                  <c:v>44537</c:v>
                </c:pt>
                <c:pt idx="229">
                  <c:v>44538</c:v>
                </c:pt>
                <c:pt idx="230">
                  <c:v>44539</c:v>
                </c:pt>
                <c:pt idx="231">
                  <c:v>44540</c:v>
                </c:pt>
                <c:pt idx="232">
                  <c:v>44543</c:v>
                </c:pt>
                <c:pt idx="233">
                  <c:v>44544</c:v>
                </c:pt>
                <c:pt idx="234">
                  <c:v>44545</c:v>
                </c:pt>
                <c:pt idx="235">
                  <c:v>44546</c:v>
                </c:pt>
                <c:pt idx="236">
                  <c:v>44547</c:v>
                </c:pt>
                <c:pt idx="237">
                  <c:v>44550</c:v>
                </c:pt>
                <c:pt idx="238">
                  <c:v>44551</c:v>
                </c:pt>
                <c:pt idx="239">
                  <c:v>44552</c:v>
                </c:pt>
                <c:pt idx="240">
                  <c:v>44553</c:v>
                </c:pt>
                <c:pt idx="241">
                  <c:v>44554</c:v>
                </c:pt>
                <c:pt idx="242">
                  <c:v>44557</c:v>
                </c:pt>
                <c:pt idx="243">
                  <c:v>44558</c:v>
                </c:pt>
                <c:pt idx="244">
                  <c:v>44559</c:v>
                </c:pt>
                <c:pt idx="245">
                  <c:v>44560</c:v>
                </c:pt>
                <c:pt idx="246">
                  <c:v>44561</c:v>
                </c:pt>
                <c:pt idx="247">
                  <c:v>44564</c:v>
                </c:pt>
                <c:pt idx="248">
                  <c:v>44565</c:v>
                </c:pt>
                <c:pt idx="249">
                  <c:v>44566</c:v>
                </c:pt>
                <c:pt idx="250">
                  <c:v>44567</c:v>
                </c:pt>
                <c:pt idx="251">
                  <c:v>44568</c:v>
                </c:pt>
                <c:pt idx="252">
                  <c:v>44571</c:v>
                </c:pt>
                <c:pt idx="253">
                  <c:v>44572</c:v>
                </c:pt>
                <c:pt idx="254">
                  <c:v>44573</c:v>
                </c:pt>
                <c:pt idx="255">
                  <c:v>44574</c:v>
                </c:pt>
                <c:pt idx="256">
                  <c:v>44575</c:v>
                </c:pt>
                <c:pt idx="257">
                  <c:v>44578</c:v>
                </c:pt>
                <c:pt idx="258">
                  <c:v>44579</c:v>
                </c:pt>
                <c:pt idx="259">
                  <c:v>44580</c:v>
                </c:pt>
                <c:pt idx="260">
                  <c:v>44581</c:v>
                </c:pt>
                <c:pt idx="261">
                  <c:v>44582</c:v>
                </c:pt>
                <c:pt idx="262">
                  <c:v>44585</c:v>
                </c:pt>
                <c:pt idx="263">
                  <c:v>44586</c:v>
                </c:pt>
                <c:pt idx="264">
                  <c:v>44588</c:v>
                </c:pt>
                <c:pt idx="265">
                  <c:v>44589</c:v>
                </c:pt>
                <c:pt idx="266">
                  <c:v>44592</c:v>
                </c:pt>
                <c:pt idx="267">
                  <c:v>44593</c:v>
                </c:pt>
                <c:pt idx="268">
                  <c:v>44594</c:v>
                </c:pt>
                <c:pt idx="269">
                  <c:v>44595</c:v>
                </c:pt>
                <c:pt idx="270">
                  <c:v>44596</c:v>
                </c:pt>
                <c:pt idx="271">
                  <c:v>44599</c:v>
                </c:pt>
                <c:pt idx="272">
                  <c:v>44600</c:v>
                </c:pt>
                <c:pt idx="273">
                  <c:v>44601</c:v>
                </c:pt>
                <c:pt idx="274">
                  <c:v>44602</c:v>
                </c:pt>
                <c:pt idx="275">
                  <c:v>44603</c:v>
                </c:pt>
                <c:pt idx="276">
                  <c:v>44606</c:v>
                </c:pt>
                <c:pt idx="277">
                  <c:v>44607</c:v>
                </c:pt>
                <c:pt idx="278">
                  <c:v>44608</c:v>
                </c:pt>
                <c:pt idx="279">
                  <c:v>44609</c:v>
                </c:pt>
                <c:pt idx="280">
                  <c:v>44610</c:v>
                </c:pt>
                <c:pt idx="281">
                  <c:v>44613</c:v>
                </c:pt>
                <c:pt idx="282">
                  <c:v>44614</c:v>
                </c:pt>
                <c:pt idx="283">
                  <c:v>44615</c:v>
                </c:pt>
                <c:pt idx="284">
                  <c:v>44616</c:v>
                </c:pt>
                <c:pt idx="285">
                  <c:v>44617</c:v>
                </c:pt>
                <c:pt idx="286">
                  <c:v>44620</c:v>
                </c:pt>
                <c:pt idx="287">
                  <c:v>44622</c:v>
                </c:pt>
                <c:pt idx="288">
                  <c:v>44623</c:v>
                </c:pt>
                <c:pt idx="289">
                  <c:v>44624</c:v>
                </c:pt>
                <c:pt idx="290">
                  <c:v>44627</c:v>
                </c:pt>
                <c:pt idx="291">
                  <c:v>44628</c:v>
                </c:pt>
                <c:pt idx="292">
                  <c:v>44629</c:v>
                </c:pt>
                <c:pt idx="293">
                  <c:v>44630</c:v>
                </c:pt>
                <c:pt idx="294">
                  <c:v>44631</c:v>
                </c:pt>
                <c:pt idx="295">
                  <c:v>44634</c:v>
                </c:pt>
                <c:pt idx="296">
                  <c:v>44635</c:v>
                </c:pt>
                <c:pt idx="297">
                  <c:v>44636</c:v>
                </c:pt>
                <c:pt idx="298">
                  <c:v>44637</c:v>
                </c:pt>
                <c:pt idx="299">
                  <c:v>44641</c:v>
                </c:pt>
                <c:pt idx="300">
                  <c:v>44642</c:v>
                </c:pt>
                <c:pt idx="301">
                  <c:v>44643</c:v>
                </c:pt>
                <c:pt idx="302">
                  <c:v>44644</c:v>
                </c:pt>
                <c:pt idx="303">
                  <c:v>44645</c:v>
                </c:pt>
                <c:pt idx="304">
                  <c:v>44648</c:v>
                </c:pt>
                <c:pt idx="305">
                  <c:v>44649</c:v>
                </c:pt>
                <c:pt idx="306">
                  <c:v>44650</c:v>
                </c:pt>
                <c:pt idx="307">
                  <c:v>44651</c:v>
                </c:pt>
                <c:pt idx="308">
                  <c:v>44652</c:v>
                </c:pt>
                <c:pt idx="309">
                  <c:v>44655</c:v>
                </c:pt>
                <c:pt idx="310">
                  <c:v>44656</c:v>
                </c:pt>
                <c:pt idx="311">
                  <c:v>44657</c:v>
                </c:pt>
                <c:pt idx="312">
                  <c:v>44658</c:v>
                </c:pt>
                <c:pt idx="313">
                  <c:v>44659</c:v>
                </c:pt>
                <c:pt idx="314">
                  <c:v>44662</c:v>
                </c:pt>
                <c:pt idx="315">
                  <c:v>44663</c:v>
                </c:pt>
                <c:pt idx="316">
                  <c:v>44664</c:v>
                </c:pt>
                <c:pt idx="317">
                  <c:v>44669</c:v>
                </c:pt>
                <c:pt idx="318">
                  <c:v>44670</c:v>
                </c:pt>
                <c:pt idx="319">
                  <c:v>44671</c:v>
                </c:pt>
                <c:pt idx="320">
                  <c:v>44672</c:v>
                </c:pt>
                <c:pt idx="321">
                  <c:v>44673</c:v>
                </c:pt>
                <c:pt idx="322">
                  <c:v>44676</c:v>
                </c:pt>
                <c:pt idx="323">
                  <c:v>44677</c:v>
                </c:pt>
                <c:pt idx="324">
                  <c:v>44678</c:v>
                </c:pt>
                <c:pt idx="325">
                  <c:v>44679</c:v>
                </c:pt>
                <c:pt idx="326">
                  <c:v>44680</c:v>
                </c:pt>
                <c:pt idx="327">
                  <c:v>44683</c:v>
                </c:pt>
                <c:pt idx="328">
                  <c:v>44685</c:v>
                </c:pt>
                <c:pt idx="329">
                  <c:v>44686</c:v>
                </c:pt>
                <c:pt idx="330">
                  <c:v>44687</c:v>
                </c:pt>
                <c:pt idx="331">
                  <c:v>44690</c:v>
                </c:pt>
                <c:pt idx="332">
                  <c:v>44691</c:v>
                </c:pt>
                <c:pt idx="333">
                  <c:v>44692</c:v>
                </c:pt>
                <c:pt idx="334">
                  <c:v>44693</c:v>
                </c:pt>
                <c:pt idx="335">
                  <c:v>44694</c:v>
                </c:pt>
                <c:pt idx="336">
                  <c:v>44697</c:v>
                </c:pt>
                <c:pt idx="337">
                  <c:v>44698</c:v>
                </c:pt>
                <c:pt idx="338">
                  <c:v>44699</c:v>
                </c:pt>
                <c:pt idx="339">
                  <c:v>44700</c:v>
                </c:pt>
                <c:pt idx="340">
                  <c:v>44701</c:v>
                </c:pt>
                <c:pt idx="341">
                  <c:v>44704</c:v>
                </c:pt>
                <c:pt idx="342">
                  <c:v>44705</c:v>
                </c:pt>
                <c:pt idx="343">
                  <c:v>44706</c:v>
                </c:pt>
                <c:pt idx="344">
                  <c:v>44707</c:v>
                </c:pt>
                <c:pt idx="345">
                  <c:v>44708</c:v>
                </c:pt>
                <c:pt idx="346">
                  <c:v>44711</c:v>
                </c:pt>
                <c:pt idx="347">
                  <c:v>44712</c:v>
                </c:pt>
                <c:pt idx="348">
                  <c:v>44713</c:v>
                </c:pt>
                <c:pt idx="349">
                  <c:v>44714</c:v>
                </c:pt>
                <c:pt idx="350">
                  <c:v>44715</c:v>
                </c:pt>
                <c:pt idx="351">
                  <c:v>44718</c:v>
                </c:pt>
                <c:pt idx="352">
                  <c:v>44719</c:v>
                </c:pt>
                <c:pt idx="353">
                  <c:v>44720</c:v>
                </c:pt>
                <c:pt idx="354">
                  <c:v>44721</c:v>
                </c:pt>
                <c:pt idx="355">
                  <c:v>44722</c:v>
                </c:pt>
                <c:pt idx="356">
                  <c:v>44725</c:v>
                </c:pt>
                <c:pt idx="357">
                  <c:v>44726</c:v>
                </c:pt>
                <c:pt idx="358">
                  <c:v>44727</c:v>
                </c:pt>
                <c:pt idx="359">
                  <c:v>44728</c:v>
                </c:pt>
                <c:pt idx="360">
                  <c:v>44729</c:v>
                </c:pt>
                <c:pt idx="361">
                  <c:v>44732</c:v>
                </c:pt>
                <c:pt idx="362">
                  <c:v>44733</c:v>
                </c:pt>
                <c:pt idx="363">
                  <c:v>44734</c:v>
                </c:pt>
                <c:pt idx="364">
                  <c:v>44735</c:v>
                </c:pt>
                <c:pt idx="365">
                  <c:v>44736</c:v>
                </c:pt>
                <c:pt idx="366">
                  <c:v>44739</c:v>
                </c:pt>
                <c:pt idx="367">
                  <c:v>44740</c:v>
                </c:pt>
                <c:pt idx="368">
                  <c:v>44741</c:v>
                </c:pt>
                <c:pt idx="369">
                  <c:v>44742</c:v>
                </c:pt>
                <c:pt idx="370">
                  <c:v>44743</c:v>
                </c:pt>
                <c:pt idx="371">
                  <c:v>44746</c:v>
                </c:pt>
                <c:pt idx="372">
                  <c:v>44747</c:v>
                </c:pt>
                <c:pt idx="373">
                  <c:v>44748</c:v>
                </c:pt>
                <c:pt idx="374">
                  <c:v>44749</c:v>
                </c:pt>
                <c:pt idx="375">
                  <c:v>44750</c:v>
                </c:pt>
                <c:pt idx="376">
                  <c:v>44753</c:v>
                </c:pt>
                <c:pt idx="377">
                  <c:v>44754</c:v>
                </c:pt>
                <c:pt idx="378">
                  <c:v>44755</c:v>
                </c:pt>
                <c:pt idx="379">
                  <c:v>44756</c:v>
                </c:pt>
                <c:pt idx="380">
                  <c:v>44757</c:v>
                </c:pt>
                <c:pt idx="381">
                  <c:v>44760</c:v>
                </c:pt>
                <c:pt idx="382">
                  <c:v>44761</c:v>
                </c:pt>
                <c:pt idx="383">
                  <c:v>44762</c:v>
                </c:pt>
                <c:pt idx="384">
                  <c:v>44763</c:v>
                </c:pt>
                <c:pt idx="385">
                  <c:v>44764</c:v>
                </c:pt>
                <c:pt idx="386">
                  <c:v>44767</c:v>
                </c:pt>
                <c:pt idx="387">
                  <c:v>44768</c:v>
                </c:pt>
                <c:pt idx="388">
                  <c:v>44769</c:v>
                </c:pt>
                <c:pt idx="389">
                  <c:v>44770</c:v>
                </c:pt>
                <c:pt idx="390">
                  <c:v>44771</c:v>
                </c:pt>
                <c:pt idx="391">
                  <c:v>44774</c:v>
                </c:pt>
                <c:pt idx="392">
                  <c:v>44775</c:v>
                </c:pt>
                <c:pt idx="393">
                  <c:v>44776</c:v>
                </c:pt>
                <c:pt idx="394">
                  <c:v>44777</c:v>
                </c:pt>
                <c:pt idx="395">
                  <c:v>44778</c:v>
                </c:pt>
                <c:pt idx="396">
                  <c:v>44781</c:v>
                </c:pt>
                <c:pt idx="397">
                  <c:v>44783</c:v>
                </c:pt>
                <c:pt idx="398">
                  <c:v>44784</c:v>
                </c:pt>
                <c:pt idx="399">
                  <c:v>44785</c:v>
                </c:pt>
                <c:pt idx="400">
                  <c:v>44789</c:v>
                </c:pt>
                <c:pt idx="401">
                  <c:v>44790</c:v>
                </c:pt>
                <c:pt idx="402">
                  <c:v>44791</c:v>
                </c:pt>
                <c:pt idx="403">
                  <c:v>44792</c:v>
                </c:pt>
                <c:pt idx="404">
                  <c:v>44795</c:v>
                </c:pt>
                <c:pt idx="405">
                  <c:v>44796</c:v>
                </c:pt>
                <c:pt idx="406">
                  <c:v>44797</c:v>
                </c:pt>
                <c:pt idx="407">
                  <c:v>44798</c:v>
                </c:pt>
                <c:pt idx="408">
                  <c:v>44799</c:v>
                </c:pt>
                <c:pt idx="409">
                  <c:v>44802</c:v>
                </c:pt>
                <c:pt idx="410">
                  <c:v>44803</c:v>
                </c:pt>
                <c:pt idx="411">
                  <c:v>44805</c:v>
                </c:pt>
                <c:pt idx="412">
                  <c:v>44806</c:v>
                </c:pt>
                <c:pt idx="413">
                  <c:v>44809</c:v>
                </c:pt>
                <c:pt idx="414">
                  <c:v>44810</c:v>
                </c:pt>
                <c:pt idx="415">
                  <c:v>44811</c:v>
                </c:pt>
                <c:pt idx="416">
                  <c:v>44812</c:v>
                </c:pt>
                <c:pt idx="417">
                  <c:v>44813</c:v>
                </c:pt>
                <c:pt idx="418">
                  <c:v>44816</c:v>
                </c:pt>
                <c:pt idx="419">
                  <c:v>44817</c:v>
                </c:pt>
                <c:pt idx="420">
                  <c:v>44818</c:v>
                </c:pt>
                <c:pt idx="421">
                  <c:v>44819</c:v>
                </c:pt>
                <c:pt idx="422">
                  <c:v>44820</c:v>
                </c:pt>
                <c:pt idx="423">
                  <c:v>44823</c:v>
                </c:pt>
                <c:pt idx="424">
                  <c:v>44824</c:v>
                </c:pt>
                <c:pt idx="425">
                  <c:v>44825</c:v>
                </c:pt>
                <c:pt idx="426">
                  <c:v>44826</c:v>
                </c:pt>
                <c:pt idx="427">
                  <c:v>44827</c:v>
                </c:pt>
                <c:pt idx="428">
                  <c:v>44830</c:v>
                </c:pt>
                <c:pt idx="429">
                  <c:v>44831</c:v>
                </c:pt>
                <c:pt idx="430">
                  <c:v>44832</c:v>
                </c:pt>
                <c:pt idx="431">
                  <c:v>44833</c:v>
                </c:pt>
                <c:pt idx="432">
                  <c:v>44834</c:v>
                </c:pt>
                <c:pt idx="433">
                  <c:v>44837</c:v>
                </c:pt>
                <c:pt idx="434">
                  <c:v>44838</c:v>
                </c:pt>
                <c:pt idx="435">
                  <c:v>44840</c:v>
                </c:pt>
                <c:pt idx="436">
                  <c:v>44841</c:v>
                </c:pt>
                <c:pt idx="437">
                  <c:v>44844</c:v>
                </c:pt>
                <c:pt idx="438">
                  <c:v>44845</c:v>
                </c:pt>
                <c:pt idx="439">
                  <c:v>44846</c:v>
                </c:pt>
                <c:pt idx="440">
                  <c:v>44847</c:v>
                </c:pt>
                <c:pt idx="441">
                  <c:v>44848</c:v>
                </c:pt>
                <c:pt idx="442">
                  <c:v>44851</c:v>
                </c:pt>
                <c:pt idx="443">
                  <c:v>44852</c:v>
                </c:pt>
                <c:pt idx="444">
                  <c:v>44853</c:v>
                </c:pt>
                <c:pt idx="445">
                  <c:v>44854</c:v>
                </c:pt>
                <c:pt idx="446">
                  <c:v>44855</c:v>
                </c:pt>
                <c:pt idx="447">
                  <c:v>44858</c:v>
                </c:pt>
                <c:pt idx="448">
                  <c:v>44859</c:v>
                </c:pt>
                <c:pt idx="449">
                  <c:v>44861</c:v>
                </c:pt>
                <c:pt idx="450">
                  <c:v>44862</c:v>
                </c:pt>
                <c:pt idx="451">
                  <c:v>44865</c:v>
                </c:pt>
                <c:pt idx="452">
                  <c:v>44866</c:v>
                </c:pt>
                <c:pt idx="453">
                  <c:v>44867</c:v>
                </c:pt>
                <c:pt idx="454">
                  <c:v>44868</c:v>
                </c:pt>
                <c:pt idx="455">
                  <c:v>44869</c:v>
                </c:pt>
                <c:pt idx="456">
                  <c:v>44872</c:v>
                </c:pt>
                <c:pt idx="457">
                  <c:v>44874</c:v>
                </c:pt>
                <c:pt idx="458">
                  <c:v>44875</c:v>
                </c:pt>
                <c:pt idx="459">
                  <c:v>44876</c:v>
                </c:pt>
                <c:pt idx="460">
                  <c:v>44879</c:v>
                </c:pt>
                <c:pt idx="461">
                  <c:v>44880</c:v>
                </c:pt>
                <c:pt idx="462">
                  <c:v>44881</c:v>
                </c:pt>
                <c:pt idx="463">
                  <c:v>44882</c:v>
                </c:pt>
                <c:pt idx="464">
                  <c:v>44883</c:v>
                </c:pt>
                <c:pt idx="465">
                  <c:v>44886</c:v>
                </c:pt>
                <c:pt idx="466">
                  <c:v>44887</c:v>
                </c:pt>
                <c:pt idx="467">
                  <c:v>44888</c:v>
                </c:pt>
                <c:pt idx="468">
                  <c:v>44889</c:v>
                </c:pt>
                <c:pt idx="469">
                  <c:v>44890</c:v>
                </c:pt>
                <c:pt idx="470">
                  <c:v>44893</c:v>
                </c:pt>
                <c:pt idx="471">
                  <c:v>44894</c:v>
                </c:pt>
                <c:pt idx="472">
                  <c:v>44895</c:v>
                </c:pt>
                <c:pt idx="473">
                  <c:v>44896</c:v>
                </c:pt>
                <c:pt idx="474">
                  <c:v>44897</c:v>
                </c:pt>
                <c:pt idx="475">
                  <c:v>44900</c:v>
                </c:pt>
                <c:pt idx="476">
                  <c:v>44901</c:v>
                </c:pt>
                <c:pt idx="477">
                  <c:v>44902</c:v>
                </c:pt>
                <c:pt idx="478">
                  <c:v>44903</c:v>
                </c:pt>
                <c:pt idx="479">
                  <c:v>44904</c:v>
                </c:pt>
                <c:pt idx="480">
                  <c:v>44907</c:v>
                </c:pt>
                <c:pt idx="481">
                  <c:v>44908</c:v>
                </c:pt>
                <c:pt idx="482">
                  <c:v>44909</c:v>
                </c:pt>
                <c:pt idx="483">
                  <c:v>44910</c:v>
                </c:pt>
                <c:pt idx="484">
                  <c:v>44911</c:v>
                </c:pt>
                <c:pt idx="485">
                  <c:v>44914</c:v>
                </c:pt>
                <c:pt idx="486">
                  <c:v>44915</c:v>
                </c:pt>
                <c:pt idx="487">
                  <c:v>44916</c:v>
                </c:pt>
                <c:pt idx="488">
                  <c:v>44917</c:v>
                </c:pt>
                <c:pt idx="489">
                  <c:v>44918</c:v>
                </c:pt>
                <c:pt idx="490">
                  <c:v>44921</c:v>
                </c:pt>
                <c:pt idx="491">
                  <c:v>44922</c:v>
                </c:pt>
                <c:pt idx="492">
                  <c:v>44923</c:v>
                </c:pt>
                <c:pt idx="493">
                  <c:v>44924</c:v>
                </c:pt>
                <c:pt idx="494">
                  <c:v>44925</c:v>
                </c:pt>
                <c:pt idx="495">
                  <c:v>44928</c:v>
                </c:pt>
                <c:pt idx="496">
                  <c:v>44929</c:v>
                </c:pt>
                <c:pt idx="497">
                  <c:v>44930</c:v>
                </c:pt>
                <c:pt idx="498">
                  <c:v>44931</c:v>
                </c:pt>
                <c:pt idx="499">
                  <c:v>44932</c:v>
                </c:pt>
                <c:pt idx="500">
                  <c:v>44935</c:v>
                </c:pt>
                <c:pt idx="501">
                  <c:v>44936</c:v>
                </c:pt>
                <c:pt idx="502">
                  <c:v>44937</c:v>
                </c:pt>
                <c:pt idx="503">
                  <c:v>44938</c:v>
                </c:pt>
                <c:pt idx="504">
                  <c:v>44939</c:v>
                </c:pt>
                <c:pt idx="505">
                  <c:v>44942</c:v>
                </c:pt>
                <c:pt idx="506">
                  <c:v>44943</c:v>
                </c:pt>
                <c:pt idx="507">
                  <c:v>44944</c:v>
                </c:pt>
                <c:pt idx="508">
                  <c:v>44945</c:v>
                </c:pt>
                <c:pt idx="509">
                  <c:v>44946</c:v>
                </c:pt>
                <c:pt idx="510">
                  <c:v>44949</c:v>
                </c:pt>
                <c:pt idx="511">
                  <c:v>44950</c:v>
                </c:pt>
                <c:pt idx="512">
                  <c:v>44951</c:v>
                </c:pt>
                <c:pt idx="513">
                  <c:v>44953</c:v>
                </c:pt>
                <c:pt idx="514">
                  <c:v>44956</c:v>
                </c:pt>
                <c:pt idx="515">
                  <c:v>44957</c:v>
                </c:pt>
                <c:pt idx="516">
                  <c:v>44958</c:v>
                </c:pt>
                <c:pt idx="517">
                  <c:v>44959</c:v>
                </c:pt>
                <c:pt idx="518">
                  <c:v>44960</c:v>
                </c:pt>
                <c:pt idx="519">
                  <c:v>44963</c:v>
                </c:pt>
                <c:pt idx="520">
                  <c:v>44964</c:v>
                </c:pt>
                <c:pt idx="521">
                  <c:v>44965</c:v>
                </c:pt>
                <c:pt idx="522">
                  <c:v>44966</c:v>
                </c:pt>
                <c:pt idx="523">
                  <c:v>44967</c:v>
                </c:pt>
                <c:pt idx="524">
                  <c:v>44970</c:v>
                </c:pt>
                <c:pt idx="525">
                  <c:v>44971</c:v>
                </c:pt>
                <c:pt idx="526">
                  <c:v>44972</c:v>
                </c:pt>
                <c:pt idx="527">
                  <c:v>44973</c:v>
                </c:pt>
                <c:pt idx="528">
                  <c:v>44974</c:v>
                </c:pt>
                <c:pt idx="529">
                  <c:v>44977</c:v>
                </c:pt>
                <c:pt idx="530">
                  <c:v>44978</c:v>
                </c:pt>
                <c:pt idx="531">
                  <c:v>44979</c:v>
                </c:pt>
                <c:pt idx="532">
                  <c:v>44980</c:v>
                </c:pt>
                <c:pt idx="533">
                  <c:v>44981</c:v>
                </c:pt>
                <c:pt idx="534">
                  <c:v>44984</c:v>
                </c:pt>
                <c:pt idx="535">
                  <c:v>44985</c:v>
                </c:pt>
                <c:pt idx="536">
                  <c:v>44986</c:v>
                </c:pt>
                <c:pt idx="537">
                  <c:v>44987</c:v>
                </c:pt>
                <c:pt idx="538">
                  <c:v>44988</c:v>
                </c:pt>
                <c:pt idx="539">
                  <c:v>44991</c:v>
                </c:pt>
                <c:pt idx="540">
                  <c:v>44993</c:v>
                </c:pt>
                <c:pt idx="541">
                  <c:v>44994</c:v>
                </c:pt>
                <c:pt idx="542">
                  <c:v>44995</c:v>
                </c:pt>
                <c:pt idx="543">
                  <c:v>44998</c:v>
                </c:pt>
                <c:pt idx="544">
                  <c:v>44999</c:v>
                </c:pt>
                <c:pt idx="545">
                  <c:v>45000</c:v>
                </c:pt>
                <c:pt idx="546">
                  <c:v>45001</c:v>
                </c:pt>
                <c:pt idx="547">
                  <c:v>45002</c:v>
                </c:pt>
                <c:pt idx="548">
                  <c:v>45005</c:v>
                </c:pt>
                <c:pt idx="549">
                  <c:v>45006</c:v>
                </c:pt>
                <c:pt idx="550">
                  <c:v>45007</c:v>
                </c:pt>
                <c:pt idx="551">
                  <c:v>45008</c:v>
                </c:pt>
                <c:pt idx="552">
                  <c:v>45009</c:v>
                </c:pt>
                <c:pt idx="553">
                  <c:v>45012</c:v>
                </c:pt>
                <c:pt idx="554">
                  <c:v>45013</c:v>
                </c:pt>
                <c:pt idx="555">
                  <c:v>45014</c:v>
                </c:pt>
                <c:pt idx="556">
                  <c:v>45016</c:v>
                </c:pt>
                <c:pt idx="557">
                  <c:v>45019</c:v>
                </c:pt>
                <c:pt idx="558">
                  <c:v>45021</c:v>
                </c:pt>
                <c:pt idx="559">
                  <c:v>45022</c:v>
                </c:pt>
                <c:pt idx="560">
                  <c:v>45026</c:v>
                </c:pt>
                <c:pt idx="561">
                  <c:v>45027</c:v>
                </c:pt>
                <c:pt idx="562">
                  <c:v>45028</c:v>
                </c:pt>
                <c:pt idx="563">
                  <c:v>45029</c:v>
                </c:pt>
                <c:pt idx="564">
                  <c:v>45033</c:v>
                </c:pt>
                <c:pt idx="565">
                  <c:v>45034</c:v>
                </c:pt>
                <c:pt idx="566">
                  <c:v>45035</c:v>
                </c:pt>
                <c:pt idx="567">
                  <c:v>45036</c:v>
                </c:pt>
                <c:pt idx="568">
                  <c:v>45037</c:v>
                </c:pt>
                <c:pt idx="569">
                  <c:v>45040</c:v>
                </c:pt>
                <c:pt idx="570">
                  <c:v>45041</c:v>
                </c:pt>
                <c:pt idx="571">
                  <c:v>45042</c:v>
                </c:pt>
                <c:pt idx="572">
                  <c:v>45043</c:v>
                </c:pt>
                <c:pt idx="573">
                  <c:v>45044</c:v>
                </c:pt>
                <c:pt idx="574">
                  <c:v>45048</c:v>
                </c:pt>
                <c:pt idx="575">
                  <c:v>45049</c:v>
                </c:pt>
                <c:pt idx="576">
                  <c:v>45050</c:v>
                </c:pt>
                <c:pt idx="577">
                  <c:v>45051</c:v>
                </c:pt>
                <c:pt idx="578">
                  <c:v>45054</c:v>
                </c:pt>
                <c:pt idx="579">
                  <c:v>45055</c:v>
                </c:pt>
                <c:pt idx="580">
                  <c:v>45056</c:v>
                </c:pt>
                <c:pt idx="581">
                  <c:v>45057</c:v>
                </c:pt>
                <c:pt idx="582">
                  <c:v>45058</c:v>
                </c:pt>
                <c:pt idx="583">
                  <c:v>45061</c:v>
                </c:pt>
                <c:pt idx="584">
                  <c:v>45062</c:v>
                </c:pt>
                <c:pt idx="585">
                  <c:v>45063</c:v>
                </c:pt>
                <c:pt idx="586">
                  <c:v>45064</c:v>
                </c:pt>
                <c:pt idx="587">
                  <c:v>45065</c:v>
                </c:pt>
                <c:pt idx="588">
                  <c:v>45068</c:v>
                </c:pt>
                <c:pt idx="589">
                  <c:v>45069</c:v>
                </c:pt>
                <c:pt idx="590">
                  <c:v>45070</c:v>
                </c:pt>
                <c:pt idx="591">
                  <c:v>45071</c:v>
                </c:pt>
                <c:pt idx="592">
                  <c:v>45072</c:v>
                </c:pt>
                <c:pt idx="593">
                  <c:v>45075</c:v>
                </c:pt>
                <c:pt idx="594">
                  <c:v>45076</c:v>
                </c:pt>
                <c:pt idx="595">
                  <c:v>45077</c:v>
                </c:pt>
                <c:pt idx="596">
                  <c:v>45078</c:v>
                </c:pt>
                <c:pt idx="597">
                  <c:v>45079</c:v>
                </c:pt>
                <c:pt idx="598">
                  <c:v>45082</c:v>
                </c:pt>
                <c:pt idx="599">
                  <c:v>45083</c:v>
                </c:pt>
                <c:pt idx="600">
                  <c:v>45084</c:v>
                </c:pt>
                <c:pt idx="601">
                  <c:v>45085</c:v>
                </c:pt>
                <c:pt idx="602">
                  <c:v>45086</c:v>
                </c:pt>
                <c:pt idx="603">
                  <c:v>45089</c:v>
                </c:pt>
                <c:pt idx="604">
                  <c:v>45090</c:v>
                </c:pt>
                <c:pt idx="605">
                  <c:v>45091</c:v>
                </c:pt>
                <c:pt idx="606">
                  <c:v>45092</c:v>
                </c:pt>
                <c:pt idx="607">
                  <c:v>45093</c:v>
                </c:pt>
                <c:pt idx="608">
                  <c:v>45096</c:v>
                </c:pt>
                <c:pt idx="609">
                  <c:v>45097</c:v>
                </c:pt>
                <c:pt idx="610">
                  <c:v>45098</c:v>
                </c:pt>
                <c:pt idx="611">
                  <c:v>45099</c:v>
                </c:pt>
                <c:pt idx="612">
                  <c:v>45100</c:v>
                </c:pt>
                <c:pt idx="613">
                  <c:v>45103</c:v>
                </c:pt>
                <c:pt idx="614">
                  <c:v>45104</c:v>
                </c:pt>
                <c:pt idx="615">
                  <c:v>45105</c:v>
                </c:pt>
                <c:pt idx="616">
                  <c:v>45107</c:v>
                </c:pt>
                <c:pt idx="617">
                  <c:v>45110</c:v>
                </c:pt>
                <c:pt idx="618">
                  <c:v>45111</c:v>
                </c:pt>
                <c:pt idx="619">
                  <c:v>45112</c:v>
                </c:pt>
                <c:pt idx="620">
                  <c:v>45113</c:v>
                </c:pt>
                <c:pt idx="621">
                  <c:v>45114</c:v>
                </c:pt>
                <c:pt idx="622">
                  <c:v>45117</c:v>
                </c:pt>
                <c:pt idx="623">
                  <c:v>45118</c:v>
                </c:pt>
                <c:pt idx="624">
                  <c:v>45119</c:v>
                </c:pt>
                <c:pt idx="625">
                  <c:v>45120</c:v>
                </c:pt>
                <c:pt idx="626">
                  <c:v>45121</c:v>
                </c:pt>
                <c:pt idx="627">
                  <c:v>45124</c:v>
                </c:pt>
                <c:pt idx="628">
                  <c:v>45125</c:v>
                </c:pt>
                <c:pt idx="629">
                  <c:v>45126</c:v>
                </c:pt>
                <c:pt idx="630">
                  <c:v>45127</c:v>
                </c:pt>
                <c:pt idx="631">
                  <c:v>45128</c:v>
                </c:pt>
                <c:pt idx="632">
                  <c:v>45131</c:v>
                </c:pt>
                <c:pt idx="633">
                  <c:v>45132</c:v>
                </c:pt>
                <c:pt idx="634">
                  <c:v>45133</c:v>
                </c:pt>
                <c:pt idx="635">
                  <c:v>45134</c:v>
                </c:pt>
                <c:pt idx="636">
                  <c:v>45135</c:v>
                </c:pt>
                <c:pt idx="637">
                  <c:v>45138</c:v>
                </c:pt>
                <c:pt idx="638">
                  <c:v>45139</c:v>
                </c:pt>
                <c:pt idx="639">
                  <c:v>45140</c:v>
                </c:pt>
                <c:pt idx="640">
                  <c:v>45141</c:v>
                </c:pt>
                <c:pt idx="641">
                  <c:v>45142</c:v>
                </c:pt>
                <c:pt idx="642">
                  <c:v>45145</c:v>
                </c:pt>
                <c:pt idx="643">
                  <c:v>45146</c:v>
                </c:pt>
                <c:pt idx="644">
                  <c:v>45147</c:v>
                </c:pt>
                <c:pt idx="645">
                  <c:v>45148</c:v>
                </c:pt>
                <c:pt idx="646">
                  <c:v>45149</c:v>
                </c:pt>
                <c:pt idx="647">
                  <c:v>45152</c:v>
                </c:pt>
                <c:pt idx="648">
                  <c:v>45154</c:v>
                </c:pt>
                <c:pt idx="649">
                  <c:v>45155</c:v>
                </c:pt>
                <c:pt idx="650">
                  <c:v>45156</c:v>
                </c:pt>
                <c:pt idx="651">
                  <c:v>45159</c:v>
                </c:pt>
                <c:pt idx="652">
                  <c:v>45160</c:v>
                </c:pt>
                <c:pt idx="653">
                  <c:v>45161</c:v>
                </c:pt>
                <c:pt idx="654">
                  <c:v>45162</c:v>
                </c:pt>
                <c:pt idx="655">
                  <c:v>45163</c:v>
                </c:pt>
                <c:pt idx="656">
                  <c:v>45166</c:v>
                </c:pt>
                <c:pt idx="657">
                  <c:v>45167</c:v>
                </c:pt>
                <c:pt idx="658">
                  <c:v>45168</c:v>
                </c:pt>
                <c:pt idx="659">
                  <c:v>45169</c:v>
                </c:pt>
                <c:pt idx="660">
                  <c:v>45170</c:v>
                </c:pt>
                <c:pt idx="661">
                  <c:v>45173</c:v>
                </c:pt>
                <c:pt idx="662">
                  <c:v>45174</c:v>
                </c:pt>
                <c:pt idx="663">
                  <c:v>45175</c:v>
                </c:pt>
                <c:pt idx="664">
                  <c:v>45176</c:v>
                </c:pt>
                <c:pt idx="665">
                  <c:v>45177</c:v>
                </c:pt>
                <c:pt idx="666">
                  <c:v>45180</c:v>
                </c:pt>
                <c:pt idx="667">
                  <c:v>45181</c:v>
                </c:pt>
                <c:pt idx="668">
                  <c:v>45182</c:v>
                </c:pt>
                <c:pt idx="669">
                  <c:v>45183</c:v>
                </c:pt>
                <c:pt idx="670">
                  <c:v>45184</c:v>
                </c:pt>
                <c:pt idx="671">
                  <c:v>45187</c:v>
                </c:pt>
                <c:pt idx="672">
                  <c:v>45189</c:v>
                </c:pt>
                <c:pt idx="673">
                  <c:v>45190</c:v>
                </c:pt>
                <c:pt idx="674">
                  <c:v>45191</c:v>
                </c:pt>
                <c:pt idx="675">
                  <c:v>45194</c:v>
                </c:pt>
                <c:pt idx="676">
                  <c:v>45195</c:v>
                </c:pt>
                <c:pt idx="677">
                  <c:v>45196</c:v>
                </c:pt>
                <c:pt idx="678">
                  <c:v>45197</c:v>
                </c:pt>
                <c:pt idx="679">
                  <c:v>45198</c:v>
                </c:pt>
                <c:pt idx="680">
                  <c:v>45202</c:v>
                </c:pt>
                <c:pt idx="681">
                  <c:v>45203</c:v>
                </c:pt>
                <c:pt idx="682">
                  <c:v>45204</c:v>
                </c:pt>
                <c:pt idx="683">
                  <c:v>45205</c:v>
                </c:pt>
                <c:pt idx="684">
                  <c:v>45208</c:v>
                </c:pt>
                <c:pt idx="685">
                  <c:v>45209</c:v>
                </c:pt>
                <c:pt idx="686">
                  <c:v>45210</c:v>
                </c:pt>
                <c:pt idx="687">
                  <c:v>45211</c:v>
                </c:pt>
                <c:pt idx="688">
                  <c:v>45212</c:v>
                </c:pt>
                <c:pt idx="689">
                  <c:v>45215</c:v>
                </c:pt>
                <c:pt idx="690">
                  <c:v>45216</c:v>
                </c:pt>
                <c:pt idx="691">
                  <c:v>45217</c:v>
                </c:pt>
                <c:pt idx="692">
                  <c:v>45218</c:v>
                </c:pt>
                <c:pt idx="693">
                  <c:v>45219</c:v>
                </c:pt>
                <c:pt idx="694">
                  <c:v>45222</c:v>
                </c:pt>
                <c:pt idx="695">
                  <c:v>45224</c:v>
                </c:pt>
                <c:pt idx="696">
                  <c:v>45225</c:v>
                </c:pt>
                <c:pt idx="697">
                  <c:v>45226</c:v>
                </c:pt>
                <c:pt idx="698">
                  <c:v>45229</c:v>
                </c:pt>
                <c:pt idx="699">
                  <c:v>45230</c:v>
                </c:pt>
                <c:pt idx="700">
                  <c:v>45231</c:v>
                </c:pt>
                <c:pt idx="701">
                  <c:v>45232</c:v>
                </c:pt>
                <c:pt idx="702">
                  <c:v>45233</c:v>
                </c:pt>
                <c:pt idx="703">
                  <c:v>45236</c:v>
                </c:pt>
                <c:pt idx="704">
                  <c:v>45237</c:v>
                </c:pt>
                <c:pt idx="705">
                  <c:v>45238</c:v>
                </c:pt>
                <c:pt idx="706">
                  <c:v>45239</c:v>
                </c:pt>
                <c:pt idx="707">
                  <c:v>45240</c:v>
                </c:pt>
                <c:pt idx="708">
                  <c:v>45242</c:v>
                </c:pt>
                <c:pt idx="709">
                  <c:v>45243</c:v>
                </c:pt>
                <c:pt idx="710">
                  <c:v>45245</c:v>
                </c:pt>
                <c:pt idx="711">
                  <c:v>45246</c:v>
                </c:pt>
                <c:pt idx="712">
                  <c:v>45247</c:v>
                </c:pt>
                <c:pt idx="713">
                  <c:v>45250</c:v>
                </c:pt>
                <c:pt idx="714">
                  <c:v>45251</c:v>
                </c:pt>
                <c:pt idx="715">
                  <c:v>45252</c:v>
                </c:pt>
                <c:pt idx="716">
                  <c:v>45253</c:v>
                </c:pt>
                <c:pt idx="717">
                  <c:v>45254</c:v>
                </c:pt>
                <c:pt idx="718">
                  <c:v>45258</c:v>
                </c:pt>
                <c:pt idx="719">
                  <c:v>45259</c:v>
                </c:pt>
                <c:pt idx="720">
                  <c:v>45260</c:v>
                </c:pt>
                <c:pt idx="721">
                  <c:v>45261</c:v>
                </c:pt>
                <c:pt idx="722">
                  <c:v>45264</c:v>
                </c:pt>
                <c:pt idx="723">
                  <c:v>45265</c:v>
                </c:pt>
                <c:pt idx="724">
                  <c:v>45266</c:v>
                </c:pt>
                <c:pt idx="725">
                  <c:v>45267</c:v>
                </c:pt>
                <c:pt idx="726">
                  <c:v>45268</c:v>
                </c:pt>
                <c:pt idx="727">
                  <c:v>45271</c:v>
                </c:pt>
                <c:pt idx="728">
                  <c:v>45272</c:v>
                </c:pt>
                <c:pt idx="729">
                  <c:v>45273</c:v>
                </c:pt>
                <c:pt idx="730">
                  <c:v>45274</c:v>
                </c:pt>
                <c:pt idx="731">
                  <c:v>45275</c:v>
                </c:pt>
                <c:pt idx="732">
                  <c:v>45278</c:v>
                </c:pt>
                <c:pt idx="733">
                  <c:v>45279</c:v>
                </c:pt>
                <c:pt idx="734">
                  <c:v>45280</c:v>
                </c:pt>
                <c:pt idx="735">
                  <c:v>45281</c:v>
                </c:pt>
                <c:pt idx="736">
                  <c:v>45282</c:v>
                </c:pt>
                <c:pt idx="737">
                  <c:v>45286</c:v>
                </c:pt>
                <c:pt idx="738">
                  <c:v>45287</c:v>
                </c:pt>
                <c:pt idx="739">
                  <c:v>45288</c:v>
                </c:pt>
                <c:pt idx="740">
                  <c:v>45289</c:v>
                </c:pt>
                <c:pt idx="741">
                  <c:v>45292</c:v>
                </c:pt>
                <c:pt idx="742">
                  <c:v>45293</c:v>
                </c:pt>
                <c:pt idx="743">
                  <c:v>45294</c:v>
                </c:pt>
                <c:pt idx="744">
                  <c:v>45295</c:v>
                </c:pt>
                <c:pt idx="745">
                  <c:v>45296</c:v>
                </c:pt>
                <c:pt idx="746">
                  <c:v>45299</c:v>
                </c:pt>
                <c:pt idx="747">
                  <c:v>45300</c:v>
                </c:pt>
                <c:pt idx="748">
                  <c:v>45301</c:v>
                </c:pt>
                <c:pt idx="749">
                  <c:v>45302</c:v>
                </c:pt>
                <c:pt idx="750">
                  <c:v>45303</c:v>
                </c:pt>
                <c:pt idx="751">
                  <c:v>45306</c:v>
                </c:pt>
                <c:pt idx="752">
                  <c:v>45307</c:v>
                </c:pt>
                <c:pt idx="753">
                  <c:v>45308</c:v>
                </c:pt>
                <c:pt idx="754">
                  <c:v>45309</c:v>
                </c:pt>
                <c:pt idx="755">
                  <c:v>45310</c:v>
                </c:pt>
                <c:pt idx="756">
                  <c:v>45311</c:v>
                </c:pt>
                <c:pt idx="757">
                  <c:v>45314</c:v>
                </c:pt>
                <c:pt idx="758">
                  <c:v>45315</c:v>
                </c:pt>
                <c:pt idx="759">
                  <c:v>45316</c:v>
                </c:pt>
                <c:pt idx="760">
                  <c:v>45320</c:v>
                </c:pt>
                <c:pt idx="761">
                  <c:v>45321</c:v>
                </c:pt>
                <c:pt idx="762">
                  <c:v>45322</c:v>
                </c:pt>
                <c:pt idx="763">
                  <c:v>45323</c:v>
                </c:pt>
                <c:pt idx="764">
                  <c:v>45324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45334</c:v>
                </c:pt>
                <c:pt idx="771">
                  <c:v>45335</c:v>
                </c:pt>
                <c:pt idx="772">
                  <c:v>45336</c:v>
                </c:pt>
                <c:pt idx="773">
                  <c:v>45337</c:v>
                </c:pt>
                <c:pt idx="774">
                  <c:v>45338</c:v>
                </c:pt>
                <c:pt idx="775">
                  <c:v>45341</c:v>
                </c:pt>
                <c:pt idx="776">
                  <c:v>45342</c:v>
                </c:pt>
                <c:pt idx="777">
                  <c:v>45343</c:v>
                </c:pt>
                <c:pt idx="778">
                  <c:v>45344</c:v>
                </c:pt>
                <c:pt idx="779">
                  <c:v>45345</c:v>
                </c:pt>
                <c:pt idx="780">
                  <c:v>45348</c:v>
                </c:pt>
                <c:pt idx="781">
                  <c:v>45349</c:v>
                </c:pt>
                <c:pt idx="782">
                  <c:v>45350</c:v>
                </c:pt>
                <c:pt idx="783">
                  <c:v>45351</c:v>
                </c:pt>
                <c:pt idx="784">
                  <c:v>45352</c:v>
                </c:pt>
                <c:pt idx="785">
                  <c:v>45353</c:v>
                </c:pt>
                <c:pt idx="786">
                  <c:v>45355</c:v>
                </c:pt>
                <c:pt idx="787">
                  <c:v>45356</c:v>
                </c:pt>
                <c:pt idx="788">
                  <c:v>45357</c:v>
                </c:pt>
                <c:pt idx="789">
                  <c:v>45358</c:v>
                </c:pt>
                <c:pt idx="790">
                  <c:v>45362</c:v>
                </c:pt>
                <c:pt idx="791">
                  <c:v>45363</c:v>
                </c:pt>
                <c:pt idx="792">
                  <c:v>45364</c:v>
                </c:pt>
                <c:pt idx="793">
                  <c:v>45365</c:v>
                </c:pt>
                <c:pt idx="794">
                  <c:v>45366</c:v>
                </c:pt>
                <c:pt idx="795">
                  <c:v>45369</c:v>
                </c:pt>
                <c:pt idx="796">
                  <c:v>45370</c:v>
                </c:pt>
                <c:pt idx="797">
                  <c:v>45371</c:v>
                </c:pt>
                <c:pt idx="798">
                  <c:v>45372</c:v>
                </c:pt>
                <c:pt idx="799">
                  <c:v>45373</c:v>
                </c:pt>
                <c:pt idx="800">
                  <c:v>45377</c:v>
                </c:pt>
                <c:pt idx="801">
                  <c:v>45378</c:v>
                </c:pt>
                <c:pt idx="802">
                  <c:v>45379</c:v>
                </c:pt>
                <c:pt idx="803">
                  <c:v>45383</c:v>
                </c:pt>
                <c:pt idx="804">
                  <c:v>45384</c:v>
                </c:pt>
                <c:pt idx="805">
                  <c:v>45385</c:v>
                </c:pt>
                <c:pt idx="806">
                  <c:v>45386</c:v>
                </c:pt>
                <c:pt idx="807">
                  <c:v>45387</c:v>
                </c:pt>
                <c:pt idx="808">
                  <c:v>45390</c:v>
                </c:pt>
                <c:pt idx="809">
                  <c:v>45391</c:v>
                </c:pt>
                <c:pt idx="810">
                  <c:v>45392</c:v>
                </c:pt>
                <c:pt idx="811">
                  <c:v>45394</c:v>
                </c:pt>
                <c:pt idx="812">
                  <c:v>45397</c:v>
                </c:pt>
                <c:pt idx="813">
                  <c:v>45398</c:v>
                </c:pt>
                <c:pt idx="814">
                  <c:v>45400</c:v>
                </c:pt>
                <c:pt idx="815">
                  <c:v>45401</c:v>
                </c:pt>
                <c:pt idx="816">
                  <c:v>45404</c:v>
                </c:pt>
                <c:pt idx="817">
                  <c:v>45405</c:v>
                </c:pt>
                <c:pt idx="818">
                  <c:v>45406</c:v>
                </c:pt>
                <c:pt idx="819">
                  <c:v>45407</c:v>
                </c:pt>
                <c:pt idx="820">
                  <c:v>45408</c:v>
                </c:pt>
                <c:pt idx="821">
                  <c:v>45411</c:v>
                </c:pt>
                <c:pt idx="822">
                  <c:v>45412</c:v>
                </c:pt>
                <c:pt idx="823">
                  <c:v>45414</c:v>
                </c:pt>
                <c:pt idx="824">
                  <c:v>45415</c:v>
                </c:pt>
                <c:pt idx="825">
                  <c:v>45418</c:v>
                </c:pt>
                <c:pt idx="826">
                  <c:v>45419</c:v>
                </c:pt>
                <c:pt idx="827">
                  <c:v>45420</c:v>
                </c:pt>
                <c:pt idx="828">
                  <c:v>45421</c:v>
                </c:pt>
                <c:pt idx="829">
                  <c:v>45422</c:v>
                </c:pt>
                <c:pt idx="830">
                  <c:v>45425</c:v>
                </c:pt>
                <c:pt idx="831">
                  <c:v>45426</c:v>
                </c:pt>
                <c:pt idx="832">
                  <c:v>45427</c:v>
                </c:pt>
                <c:pt idx="833">
                  <c:v>45428</c:v>
                </c:pt>
                <c:pt idx="834">
                  <c:v>45429</c:v>
                </c:pt>
                <c:pt idx="835">
                  <c:v>45430</c:v>
                </c:pt>
                <c:pt idx="836">
                  <c:v>45433</c:v>
                </c:pt>
                <c:pt idx="837">
                  <c:v>45434</c:v>
                </c:pt>
                <c:pt idx="838">
                  <c:v>45435</c:v>
                </c:pt>
                <c:pt idx="839">
                  <c:v>45436</c:v>
                </c:pt>
                <c:pt idx="840">
                  <c:v>45439</c:v>
                </c:pt>
                <c:pt idx="841">
                  <c:v>45440</c:v>
                </c:pt>
                <c:pt idx="842">
                  <c:v>45441</c:v>
                </c:pt>
                <c:pt idx="843">
                  <c:v>45442</c:v>
                </c:pt>
                <c:pt idx="844">
                  <c:v>45443</c:v>
                </c:pt>
                <c:pt idx="845">
                  <c:v>45446</c:v>
                </c:pt>
                <c:pt idx="846">
                  <c:v>45447</c:v>
                </c:pt>
                <c:pt idx="847">
                  <c:v>45448</c:v>
                </c:pt>
                <c:pt idx="848">
                  <c:v>45449</c:v>
                </c:pt>
                <c:pt idx="849">
                  <c:v>45450</c:v>
                </c:pt>
                <c:pt idx="850">
                  <c:v>45453</c:v>
                </c:pt>
                <c:pt idx="851">
                  <c:v>45454</c:v>
                </c:pt>
                <c:pt idx="852">
                  <c:v>45455</c:v>
                </c:pt>
                <c:pt idx="853">
                  <c:v>45456</c:v>
                </c:pt>
                <c:pt idx="854">
                  <c:v>45457</c:v>
                </c:pt>
                <c:pt idx="855">
                  <c:v>45461</c:v>
                </c:pt>
                <c:pt idx="856">
                  <c:v>45462</c:v>
                </c:pt>
                <c:pt idx="857">
                  <c:v>45463</c:v>
                </c:pt>
                <c:pt idx="858">
                  <c:v>45464</c:v>
                </c:pt>
                <c:pt idx="859">
                  <c:v>45467</c:v>
                </c:pt>
                <c:pt idx="860">
                  <c:v>45468</c:v>
                </c:pt>
                <c:pt idx="861">
                  <c:v>45469</c:v>
                </c:pt>
                <c:pt idx="862">
                  <c:v>45470</c:v>
                </c:pt>
                <c:pt idx="863">
                  <c:v>45471</c:v>
                </c:pt>
                <c:pt idx="864">
                  <c:v>45474</c:v>
                </c:pt>
                <c:pt idx="865">
                  <c:v>45475</c:v>
                </c:pt>
                <c:pt idx="866">
                  <c:v>45476</c:v>
                </c:pt>
                <c:pt idx="867">
                  <c:v>45477</c:v>
                </c:pt>
                <c:pt idx="868">
                  <c:v>45478</c:v>
                </c:pt>
                <c:pt idx="869">
                  <c:v>45481</c:v>
                </c:pt>
                <c:pt idx="870">
                  <c:v>45482</c:v>
                </c:pt>
                <c:pt idx="871">
                  <c:v>45483</c:v>
                </c:pt>
                <c:pt idx="872">
                  <c:v>45484</c:v>
                </c:pt>
                <c:pt idx="873">
                  <c:v>45485</c:v>
                </c:pt>
                <c:pt idx="874">
                  <c:v>45488</c:v>
                </c:pt>
                <c:pt idx="875">
                  <c:v>45489</c:v>
                </c:pt>
                <c:pt idx="876">
                  <c:v>45491</c:v>
                </c:pt>
                <c:pt idx="877">
                  <c:v>45492</c:v>
                </c:pt>
                <c:pt idx="878">
                  <c:v>45495</c:v>
                </c:pt>
                <c:pt idx="879">
                  <c:v>45496</c:v>
                </c:pt>
                <c:pt idx="880">
                  <c:v>45497</c:v>
                </c:pt>
                <c:pt idx="881">
                  <c:v>45498</c:v>
                </c:pt>
                <c:pt idx="882">
                  <c:v>45499</c:v>
                </c:pt>
                <c:pt idx="883">
                  <c:v>45502</c:v>
                </c:pt>
                <c:pt idx="884">
                  <c:v>45503</c:v>
                </c:pt>
                <c:pt idx="885">
                  <c:v>45504</c:v>
                </c:pt>
                <c:pt idx="886">
                  <c:v>45505</c:v>
                </c:pt>
                <c:pt idx="887">
                  <c:v>45506</c:v>
                </c:pt>
                <c:pt idx="888">
                  <c:v>45509</c:v>
                </c:pt>
                <c:pt idx="889">
                  <c:v>45510</c:v>
                </c:pt>
                <c:pt idx="890">
                  <c:v>45511</c:v>
                </c:pt>
                <c:pt idx="891">
                  <c:v>45512</c:v>
                </c:pt>
                <c:pt idx="892">
                  <c:v>45513</c:v>
                </c:pt>
                <c:pt idx="893">
                  <c:v>45516</c:v>
                </c:pt>
                <c:pt idx="894">
                  <c:v>45517</c:v>
                </c:pt>
                <c:pt idx="895">
                  <c:v>45518</c:v>
                </c:pt>
                <c:pt idx="896">
                  <c:v>45520</c:v>
                </c:pt>
                <c:pt idx="897">
                  <c:v>45523</c:v>
                </c:pt>
                <c:pt idx="898">
                  <c:v>45524</c:v>
                </c:pt>
                <c:pt idx="899">
                  <c:v>45525</c:v>
                </c:pt>
                <c:pt idx="900">
                  <c:v>45526</c:v>
                </c:pt>
                <c:pt idx="901">
                  <c:v>45527</c:v>
                </c:pt>
                <c:pt idx="902">
                  <c:v>45530</c:v>
                </c:pt>
                <c:pt idx="903">
                  <c:v>45531</c:v>
                </c:pt>
                <c:pt idx="904">
                  <c:v>45532</c:v>
                </c:pt>
                <c:pt idx="905">
                  <c:v>45533</c:v>
                </c:pt>
                <c:pt idx="906">
                  <c:v>45534</c:v>
                </c:pt>
                <c:pt idx="907">
                  <c:v>45537</c:v>
                </c:pt>
                <c:pt idx="908">
                  <c:v>45538</c:v>
                </c:pt>
                <c:pt idx="909">
                  <c:v>45539</c:v>
                </c:pt>
                <c:pt idx="910">
                  <c:v>45540</c:v>
                </c:pt>
                <c:pt idx="911">
                  <c:v>45541</c:v>
                </c:pt>
                <c:pt idx="912">
                  <c:v>45544</c:v>
                </c:pt>
                <c:pt idx="913">
                  <c:v>45545</c:v>
                </c:pt>
                <c:pt idx="914">
                  <c:v>45546</c:v>
                </c:pt>
                <c:pt idx="915">
                  <c:v>45547</c:v>
                </c:pt>
                <c:pt idx="916">
                  <c:v>45548</c:v>
                </c:pt>
                <c:pt idx="917">
                  <c:v>45551</c:v>
                </c:pt>
                <c:pt idx="918">
                  <c:v>45552</c:v>
                </c:pt>
                <c:pt idx="919">
                  <c:v>45553</c:v>
                </c:pt>
                <c:pt idx="920">
                  <c:v>45554</c:v>
                </c:pt>
                <c:pt idx="921">
                  <c:v>45555</c:v>
                </c:pt>
                <c:pt idx="922">
                  <c:v>45558</c:v>
                </c:pt>
                <c:pt idx="923">
                  <c:v>45559</c:v>
                </c:pt>
                <c:pt idx="924">
                  <c:v>45560</c:v>
                </c:pt>
                <c:pt idx="925">
                  <c:v>45561</c:v>
                </c:pt>
                <c:pt idx="926">
                  <c:v>45562</c:v>
                </c:pt>
                <c:pt idx="927">
                  <c:v>45565</c:v>
                </c:pt>
                <c:pt idx="928">
                  <c:v>45566</c:v>
                </c:pt>
                <c:pt idx="929">
                  <c:v>45568</c:v>
                </c:pt>
                <c:pt idx="930">
                  <c:v>45569</c:v>
                </c:pt>
                <c:pt idx="931">
                  <c:v>45572</c:v>
                </c:pt>
                <c:pt idx="932">
                  <c:v>45573</c:v>
                </c:pt>
                <c:pt idx="933">
                  <c:v>45574</c:v>
                </c:pt>
                <c:pt idx="934">
                  <c:v>45575</c:v>
                </c:pt>
                <c:pt idx="935">
                  <c:v>45576</c:v>
                </c:pt>
                <c:pt idx="936">
                  <c:v>45579</c:v>
                </c:pt>
                <c:pt idx="937">
                  <c:v>45580</c:v>
                </c:pt>
                <c:pt idx="938">
                  <c:v>45581</c:v>
                </c:pt>
                <c:pt idx="939">
                  <c:v>45582</c:v>
                </c:pt>
                <c:pt idx="940">
                  <c:v>45583</c:v>
                </c:pt>
                <c:pt idx="941">
                  <c:v>45586</c:v>
                </c:pt>
                <c:pt idx="942">
                  <c:v>45587</c:v>
                </c:pt>
                <c:pt idx="943">
                  <c:v>45588</c:v>
                </c:pt>
                <c:pt idx="944">
                  <c:v>45589</c:v>
                </c:pt>
                <c:pt idx="945">
                  <c:v>45590</c:v>
                </c:pt>
                <c:pt idx="946">
                  <c:v>45593</c:v>
                </c:pt>
                <c:pt idx="947">
                  <c:v>45594</c:v>
                </c:pt>
                <c:pt idx="948">
                  <c:v>45595</c:v>
                </c:pt>
                <c:pt idx="949">
                  <c:v>45596</c:v>
                </c:pt>
                <c:pt idx="950">
                  <c:v>45597</c:v>
                </c:pt>
                <c:pt idx="951">
                  <c:v>45600</c:v>
                </c:pt>
                <c:pt idx="952">
                  <c:v>45601</c:v>
                </c:pt>
                <c:pt idx="953">
                  <c:v>45602</c:v>
                </c:pt>
                <c:pt idx="954">
                  <c:v>45603</c:v>
                </c:pt>
                <c:pt idx="955">
                  <c:v>45604</c:v>
                </c:pt>
                <c:pt idx="956">
                  <c:v>45607</c:v>
                </c:pt>
                <c:pt idx="957">
                  <c:v>45608</c:v>
                </c:pt>
                <c:pt idx="958">
                  <c:v>45609</c:v>
                </c:pt>
                <c:pt idx="959">
                  <c:v>45610</c:v>
                </c:pt>
                <c:pt idx="960">
                  <c:v>45614</c:v>
                </c:pt>
                <c:pt idx="961">
                  <c:v>45615</c:v>
                </c:pt>
                <c:pt idx="962">
                  <c:v>45617</c:v>
                </c:pt>
                <c:pt idx="963">
                  <c:v>45618</c:v>
                </c:pt>
                <c:pt idx="964">
                  <c:v>45621</c:v>
                </c:pt>
                <c:pt idx="965">
                  <c:v>45622</c:v>
                </c:pt>
                <c:pt idx="966">
                  <c:v>45623</c:v>
                </c:pt>
                <c:pt idx="967">
                  <c:v>45624</c:v>
                </c:pt>
                <c:pt idx="968">
                  <c:v>45625</c:v>
                </c:pt>
                <c:pt idx="969">
                  <c:v>45628</c:v>
                </c:pt>
                <c:pt idx="970">
                  <c:v>45629</c:v>
                </c:pt>
                <c:pt idx="971">
                  <c:v>45630</c:v>
                </c:pt>
                <c:pt idx="972">
                  <c:v>45631</c:v>
                </c:pt>
                <c:pt idx="973">
                  <c:v>45632</c:v>
                </c:pt>
                <c:pt idx="974">
                  <c:v>45635</c:v>
                </c:pt>
                <c:pt idx="975">
                  <c:v>45636</c:v>
                </c:pt>
                <c:pt idx="976">
                  <c:v>45637</c:v>
                </c:pt>
                <c:pt idx="977">
                  <c:v>45638</c:v>
                </c:pt>
                <c:pt idx="978">
                  <c:v>45639</c:v>
                </c:pt>
                <c:pt idx="979">
                  <c:v>45642</c:v>
                </c:pt>
                <c:pt idx="980">
                  <c:v>45643</c:v>
                </c:pt>
                <c:pt idx="981">
                  <c:v>45644</c:v>
                </c:pt>
                <c:pt idx="982">
                  <c:v>45645</c:v>
                </c:pt>
                <c:pt idx="983">
                  <c:v>45646</c:v>
                </c:pt>
                <c:pt idx="984">
                  <c:v>45649</c:v>
                </c:pt>
                <c:pt idx="985">
                  <c:v>45650</c:v>
                </c:pt>
                <c:pt idx="986">
                  <c:v>45652</c:v>
                </c:pt>
                <c:pt idx="987">
                  <c:v>45653</c:v>
                </c:pt>
                <c:pt idx="988">
                  <c:v>45656</c:v>
                </c:pt>
                <c:pt idx="989">
                  <c:v>45657</c:v>
                </c:pt>
                <c:pt idx="990">
                  <c:v>45658</c:v>
                </c:pt>
                <c:pt idx="991">
                  <c:v>45659</c:v>
                </c:pt>
                <c:pt idx="992">
                  <c:v>45660</c:v>
                </c:pt>
                <c:pt idx="993">
                  <c:v>45663</c:v>
                </c:pt>
                <c:pt idx="994">
                  <c:v>45664</c:v>
                </c:pt>
                <c:pt idx="995">
                  <c:v>45665</c:v>
                </c:pt>
                <c:pt idx="996">
                  <c:v>45666</c:v>
                </c:pt>
                <c:pt idx="997">
                  <c:v>45667</c:v>
                </c:pt>
                <c:pt idx="998">
                  <c:v>45670</c:v>
                </c:pt>
                <c:pt idx="999">
                  <c:v>45671</c:v>
                </c:pt>
                <c:pt idx="1000">
                  <c:v>45672</c:v>
                </c:pt>
                <c:pt idx="1001">
                  <c:v>45673</c:v>
                </c:pt>
                <c:pt idx="1002">
                  <c:v>45674</c:v>
                </c:pt>
                <c:pt idx="1003">
                  <c:v>45677</c:v>
                </c:pt>
                <c:pt idx="1004">
                  <c:v>45678</c:v>
                </c:pt>
                <c:pt idx="1005">
                  <c:v>45679</c:v>
                </c:pt>
                <c:pt idx="1006">
                  <c:v>45680</c:v>
                </c:pt>
                <c:pt idx="1007">
                  <c:v>45681</c:v>
                </c:pt>
                <c:pt idx="1008">
                  <c:v>45684</c:v>
                </c:pt>
                <c:pt idx="1009">
                  <c:v>45685</c:v>
                </c:pt>
                <c:pt idx="1010">
                  <c:v>45686</c:v>
                </c:pt>
                <c:pt idx="1011">
                  <c:v>45687</c:v>
                </c:pt>
                <c:pt idx="1012">
                  <c:v>45688</c:v>
                </c:pt>
                <c:pt idx="1013">
                  <c:v>45689</c:v>
                </c:pt>
                <c:pt idx="1014">
                  <c:v>45691</c:v>
                </c:pt>
                <c:pt idx="1015">
                  <c:v>45692</c:v>
                </c:pt>
                <c:pt idx="1016">
                  <c:v>45693</c:v>
                </c:pt>
                <c:pt idx="1017">
                  <c:v>45694</c:v>
                </c:pt>
                <c:pt idx="1018">
                  <c:v>45695</c:v>
                </c:pt>
                <c:pt idx="1019">
                  <c:v>45698</c:v>
                </c:pt>
                <c:pt idx="1020">
                  <c:v>45699</c:v>
                </c:pt>
                <c:pt idx="1021">
                  <c:v>45700</c:v>
                </c:pt>
                <c:pt idx="1022">
                  <c:v>45701</c:v>
                </c:pt>
                <c:pt idx="1023">
                  <c:v>45702</c:v>
                </c:pt>
                <c:pt idx="1024">
                  <c:v>45705</c:v>
                </c:pt>
                <c:pt idx="1025">
                  <c:v>45706</c:v>
                </c:pt>
                <c:pt idx="1026">
                  <c:v>45707</c:v>
                </c:pt>
                <c:pt idx="1027">
                  <c:v>45708</c:v>
                </c:pt>
                <c:pt idx="1028">
                  <c:v>45709</c:v>
                </c:pt>
                <c:pt idx="1029">
                  <c:v>45712</c:v>
                </c:pt>
                <c:pt idx="1030">
                  <c:v>45713</c:v>
                </c:pt>
                <c:pt idx="1031">
                  <c:v>45715</c:v>
                </c:pt>
                <c:pt idx="1032">
                  <c:v>45716</c:v>
                </c:pt>
                <c:pt idx="1033">
                  <c:v>45719</c:v>
                </c:pt>
                <c:pt idx="1034">
                  <c:v>45720</c:v>
                </c:pt>
                <c:pt idx="1035">
                  <c:v>45721</c:v>
                </c:pt>
                <c:pt idx="1036">
                  <c:v>45722</c:v>
                </c:pt>
                <c:pt idx="1037">
                  <c:v>45723</c:v>
                </c:pt>
                <c:pt idx="1038">
                  <c:v>45726</c:v>
                </c:pt>
                <c:pt idx="1039">
                  <c:v>45727</c:v>
                </c:pt>
                <c:pt idx="1040">
                  <c:v>45728</c:v>
                </c:pt>
                <c:pt idx="1041">
                  <c:v>45729</c:v>
                </c:pt>
                <c:pt idx="1042">
                  <c:v>45733</c:v>
                </c:pt>
                <c:pt idx="1043">
                  <c:v>45734</c:v>
                </c:pt>
                <c:pt idx="1044">
                  <c:v>45735</c:v>
                </c:pt>
                <c:pt idx="1045">
                  <c:v>45736</c:v>
                </c:pt>
                <c:pt idx="1046">
                  <c:v>45737</c:v>
                </c:pt>
                <c:pt idx="1047">
                  <c:v>45740</c:v>
                </c:pt>
                <c:pt idx="1048">
                  <c:v>45741</c:v>
                </c:pt>
                <c:pt idx="1049">
                  <c:v>45742</c:v>
                </c:pt>
                <c:pt idx="1050">
                  <c:v>45743</c:v>
                </c:pt>
                <c:pt idx="1051">
                  <c:v>45744</c:v>
                </c:pt>
                <c:pt idx="1052">
                  <c:v>45748</c:v>
                </c:pt>
                <c:pt idx="1053">
                  <c:v>45749</c:v>
                </c:pt>
                <c:pt idx="1054">
                  <c:v>45750</c:v>
                </c:pt>
                <c:pt idx="1055">
                  <c:v>45751</c:v>
                </c:pt>
                <c:pt idx="1056">
                  <c:v>45754</c:v>
                </c:pt>
                <c:pt idx="1057">
                  <c:v>45755</c:v>
                </c:pt>
                <c:pt idx="1058">
                  <c:v>45756</c:v>
                </c:pt>
                <c:pt idx="1059">
                  <c:v>45758</c:v>
                </c:pt>
                <c:pt idx="1060">
                  <c:v>45762</c:v>
                </c:pt>
                <c:pt idx="1061">
                  <c:v>45763</c:v>
                </c:pt>
                <c:pt idx="1062">
                  <c:v>45764</c:v>
                </c:pt>
                <c:pt idx="1063">
                  <c:v>45768</c:v>
                </c:pt>
                <c:pt idx="1064">
                  <c:v>45769</c:v>
                </c:pt>
                <c:pt idx="1065">
                  <c:v>45770</c:v>
                </c:pt>
                <c:pt idx="1066">
                  <c:v>45771</c:v>
                </c:pt>
                <c:pt idx="1067">
                  <c:v>45772</c:v>
                </c:pt>
                <c:pt idx="1068">
                  <c:v>45775</c:v>
                </c:pt>
                <c:pt idx="1069">
                  <c:v>45776</c:v>
                </c:pt>
                <c:pt idx="1070">
                  <c:v>45777</c:v>
                </c:pt>
                <c:pt idx="1071">
                  <c:v>45779</c:v>
                </c:pt>
                <c:pt idx="1072">
                  <c:v>45782</c:v>
                </c:pt>
                <c:pt idx="1073">
                  <c:v>45783</c:v>
                </c:pt>
                <c:pt idx="1074">
                  <c:v>45784</c:v>
                </c:pt>
                <c:pt idx="1075">
                  <c:v>45785</c:v>
                </c:pt>
                <c:pt idx="1076">
                  <c:v>45786</c:v>
                </c:pt>
                <c:pt idx="1077">
                  <c:v>45789</c:v>
                </c:pt>
                <c:pt idx="1078">
                  <c:v>45790</c:v>
                </c:pt>
                <c:pt idx="1079">
                  <c:v>45791</c:v>
                </c:pt>
                <c:pt idx="1080">
                  <c:v>45792</c:v>
                </c:pt>
                <c:pt idx="1081">
                  <c:v>45793</c:v>
                </c:pt>
                <c:pt idx="1082">
                  <c:v>45796</c:v>
                </c:pt>
                <c:pt idx="1083">
                  <c:v>45797</c:v>
                </c:pt>
                <c:pt idx="1084">
                  <c:v>45798</c:v>
                </c:pt>
                <c:pt idx="1085">
                  <c:v>45799</c:v>
                </c:pt>
                <c:pt idx="1086">
                  <c:v>45800</c:v>
                </c:pt>
                <c:pt idx="1087">
                  <c:v>45803</c:v>
                </c:pt>
                <c:pt idx="1088">
                  <c:v>45804</c:v>
                </c:pt>
                <c:pt idx="1089">
                  <c:v>45805</c:v>
                </c:pt>
                <c:pt idx="1090">
                  <c:v>45806</c:v>
                </c:pt>
                <c:pt idx="1091">
                  <c:v>45807</c:v>
                </c:pt>
                <c:pt idx="1092">
                  <c:v>45810</c:v>
                </c:pt>
                <c:pt idx="1093">
                  <c:v>45811</c:v>
                </c:pt>
                <c:pt idx="1094">
                  <c:v>45812</c:v>
                </c:pt>
                <c:pt idx="1095">
                  <c:v>45813</c:v>
                </c:pt>
                <c:pt idx="1096">
                  <c:v>45814</c:v>
                </c:pt>
                <c:pt idx="1097">
                  <c:v>45817</c:v>
                </c:pt>
                <c:pt idx="1098">
                  <c:v>45818</c:v>
                </c:pt>
                <c:pt idx="1099">
                  <c:v>45819</c:v>
                </c:pt>
                <c:pt idx="1100">
                  <c:v>45820</c:v>
                </c:pt>
                <c:pt idx="1101">
                  <c:v>45821</c:v>
                </c:pt>
                <c:pt idx="1102">
                  <c:v>45824</c:v>
                </c:pt>
                <c:pt idx="1103">
                  <c:v>45825</c:v>
                </c:pt>
                <c:pt idx="1104">
                  <c:v>45826</c:v>
                </c:pt>
                <c:pt idx="1105">
                  <c:v>45827</c:v>
                </c:pt>
                <c:pt idx="1106">
                  <c:v>45828</c:v>
                </c:pt>
                <c:pt idx="1107">
                  <c:v>45831</c:v>
                </c:pt>
                <c:pt idx="1108">
                  <c:v>45832</c:v>
                </c:pt>
                <c:pt idx="1109">
                  <c:v>45833</c:v>
                </c:pt>
                <c:pt idx="1110">
                  <c:v>45834</c:v>
                </c:pt>
                <c:pt idx="1111">
                  <c:v>45835</c:v>
                </c:pt>
                <c:pt idx="1112">
                  <c:v>45838</c:v>
                </c:pt>
                <c:pt idx="1113">
                  <c:v>45839</c:v>
                </c:pt>
                <c:pt idx="1114">
                  <c:v>45840</c:v>
                </c:pt>
                <c:pt idx="1115">
                  <c:v>45841</c:v>
                </c:pt>
                <c:pt idx="1116">
                  <c:v>45842</c:v>
                </c:pt>
                <c:pt idx="1117">
                  <c:v>45845</c:v>
                </c:pt>
                <c:pt idx="1118">
                  <c:v>45846</c:v>
                </c:pt>
                <c:pt idx="1119">
                  <c:v>45847</c:v>
                </c:pt>
                <c:pt idx="1120">
                  <c:v>45848</c:v>
                </c:pt>
                <c:pt idx="1121">
                  <c:v>45849</c:v>
                </c:pt>
                <c:pt idx="1122">
                  <c:v>45852</c:v>
                </c:pt>
                <c:pt idx="1123">
                  <c:v>45853</c:v>
                </c:pt>
                <c:pt idx="1124">
                  <c:v>45854</c:v>
                </c:pt>
                <c:pt idx="1125">
                  <c:v>45855</c:v>
                </c:pt>
                <c:pt idx="1126">
                  <c:v>45856</c:v>
                </c:pt>
                <c:pt idx="1127">
                  <c:v>45859</c:v>
                </c:pt>
                <c:pt idx="1128">
                  <c:v>45860</c:v>
                </c:pt>
                <c:pt idx="1129">
                  <c:v>45861</c:v>
                </c:pt>
                <c:pt idx="1130">
                  <c:v>45862</c:v>
                </c:pt>
                <c:pt idx="1131">
                  <c:v>45863</c:v>
                </c:pt>
                <c:pt idx="1132">
                  <c:v>45866</c:v>
                </c:pt>
                <c:pt idx="1133">
                  <c:v>45867</c:v>
                </c:pt>
                <c:pt idx="1134">
                  <c:v>45868</c:v>
                </c:pt>
                <c:pt idx="1135">
                  <c:v>45869</c:v>
                </c:pt>
                <c:pt idx="1136">
                  <c:v>45870</c:v>
                </c:pt>
                <c:pt idx="1137">
                  <c:v>45873</c:v>
                </c:pt>
                <c:pt idx="1138">
                  <c:v>45874</c:v>
                </c:pt>
                <c:pt idx="1139">
                  <c:v>45875</c:v>
                </c:pt>
                <c:pt idx="1140">
                  <c:v>45876</c:v>
                </c:pt>
                <c:pt idx="1141">
                  <c:v>45877</c:v>
                </c:pt>
                <c:pt idx="1142">
                  <c:v>45880</c:v>
                </c:pt>
                <c:pt idx="1143">
                  <c:v>45881</c:v>
                </c:pt>
                <c:pt idx="1144">
                  <c:v>45882</c:v>
                </c:pt>
                <c:pt idx="1145">
                  <c:v>45883</c:v>
                </c:pt>
                <c:pt idx="1146">
                  <c:v>45887</c:v>
                </c:pt>
                <c:pt idx="1147">
                  <c:v>45888</c:v>
                </c:pt>
                <c:pt idx="1148">
                  <c:v>45889</c:v>
                </c:pt>
                <c:pt idx="1149">
                  <c:v>45890</c:v>
                </c:pt>
                <c:pt idx="1150">
                  <c:v>45891</c:v>
                </c:pt>
                <c:pt idx="1151">
                  <c:v>45894</c:v>
                </c:pt>
                <c:pt idx="1152">
                  <c:v>45895</c:v>
                </c:pt>
                <c:pt idx="1153">
                  <c:v>45897</c:v>
                </c:pt>
                <c:pt idx="1154">
                  <c:v>45898</c:v>
                </c:pt>
                <c:pt idx="1155">
                  <c:v>45901</c:v>
                </c:pt>
                <c:pt idx="1156">
                  <c:v>45902</c:v>
                </c:pt>
                <c:pt idx="1157">
                  <c:v>45903</c:v>
                </c:pt>
                <c:pt idx="1158">
                  <c:v>45904</c:v>
                </c:pt>
                <c:pt idx="1159">
                  <c:v>45905</c:v>
                </c:pt>
                <c:pt idx="1160">
                  <c:v>45908</c:v>
                </c:pt>
                <c:pt idx="1161">
                  <c:v>45909</c:v>
                </c:pt>
                <c:pt idx="1162">
                  <c:v>45910</c:v>
                </c:pt>
                <c:pt idx="1163">
                  <c:v>45911</c:v>
                </c:pt>
                <c:pt idx="1164">
                  <c:v>45912</c:v>
                </c:pt>
                <c:pt idx="1165">
                  <c:v>45915</c:v>
                </c:pt>
                <c:pt idx="1166">
                  <c:v>45916</c:v>
                </c:pt>
                <c:pt idx="1167">
                  <c:v>45917</c:v>
                </c:pt>
                <c:pt idx="1168">
                  <c:v>45918</c:v>
                </c:pt>
                <c:pt idx="1169">
                  <c:v>45919</c:v>
                </c:pt>
                <c:pt idx="1170">
                  <c:v>45922</c:v>
                </c:pt>
                <c:pt idx="1171">
                  <c:v>45923</c:v>
                </c:pt>
                <c:pt idx="1172">
                  <c:v>45924</c:v>
                </c:pt>
                <c:pt idx="1173">
                  <c:v>45925</c:v>
                </c:pt>
                <c:pt idx="1174">
                  <c:v>45926</c:v>
                </c:pt>
                <c:pt idx="1175">
                  <c:v>45929</c:v>
                </c:pt>
                <c:pt idx="1176">
                  <c:v>45930</c:v>
                </c:pt>
                <c:pt idx="1177">
                  <c:v>45931</c:v>
                </c:pt>
                <c:pt idx="1178">
                  <c:v>45933</c:v>
                </c:pt>
                <c:pt idx="1179">
                  <c:v>45936</c:v>
                </c:pt>
                <c:pt idx="1180">
                  <c:v>45937</c:v>
                </c:pt>
                <c:pt idx="1181">
                  <c:v>45938</c:v>
                </c:pt>
                <c:pt idx="1182">
                  <c:v>45939</c:v>
                </c:pt>
                <c:pt idx="1183">
                  <c:v>45940</c:v>
                </c:pt>
                <c:pt idx="1184">
                  <c:v>45943</c:v>
                </c:pt>
                <c:pt idx="1185">
                  <c:v>45944</c:v>
                </c:pt>
                <c:pt idx="1186">
                  <c:v>45945</c:v>
                </c:pt>
                <c:pt idx="1187">
                  <c:v>45946</c:v>
                </c:pt>
                <c:pt idx="1188">
                  <c:v>45947</c:v>
                </c:pt>
                <c:pt idx="1189">
                  <c:v>45950</c:v>
                </c:pt>
                <c:pt idx="1190">
                  <c:v>45951</c:v>
                </c:pt>
                <c:pt idx="1191">
                  <c:v>45953</c:v>
                </c:pt>
                <c:pt idx="1192">
                  <c:v>45954</c:v>
                </c:pt>
                <c:pt idx="1193">
                  <c:v>45957</c:v>
                </c:pt>
                <c:pt idx="1194">
                  <c:v>45958</c:v>
                </c:pt>
                <c:pt idx="1195">
                  <c:v>45959</c:v>
                </c:pt>
                <c:pt idx="1196">
                  <c:v>45960</c:v>
                </c:pt>
                <c:pt idx="1197">
                  <c:v>45961</c:v>
                </c:pt>
                <c:pt idx="1198">
                  <c:v>45964</c:v>
                </c:pt>
                <c:pt idx="1199">
                  <c:v>45965</c:v>
                </c:pt>
                <c:pt idx="1200">
                  <c:v>45967</c:v>
                </c:pt>
                <c:pt idx="1201">
                  <c:v>45968</c:v>
                </c:pt>
                <c:pt idx="1202">
                  <c:v>45971</c:v>
                </c:pt>
                <c:pt idx="1203">
                  <c:v>45972</c:v>
                </c:pt>
                <c:pt idx="1204">
                  <c:v>45973</c:v>
                </c:pt>
                <c:pt idx="1205">
                  <c:v>45974</c:v>
                </c:pt>
                <c:pt idx="1206">
                  <c:v>45975</c:v>
                </c:pt>
                <c:pt idx="1207">
                  <c:v>45978</c:v>
                </c:pt>
                <c:pt idx="1208">
                  <c:v>45979</c:v>
                </c:pt>
                <c:pt idx="1209">
                  <c:v>45980</c:v>
                </c:pt>
                <c:pt idx="1210">
                  <c:v>45981</c:v>
                </c:pt>
                <c:pt idx="1211">
                  <c:v>45982</c:v>
                </c:pt>
                <c:pt idx="1212">
                  <c:v>45985</c:v>
                </c:pt>
                <c:pt idx="1213">
                  <c:v>45986</c:v>
                </c:pt>
                <c:pt idx="1214">
                  <c:v>45987</c:v>
                </c:pt>
                <c:pt idx="1215">
                  <c:v>45988</c:v>
                </c:pt>
                <c:pt idx="1216">
                  <c:v>45989</c:v>
                </c:pt>
                <c:pt idx="1217">
                  <c:v>45992</c:v>
                </c:pt>
                <c:pt idx="1218">
                  <c:v>45993</c:v>
                </c:pt>
                <c:pt idx="1219">
                  <c:v>45994</c:v>
                </c:pt>
                <c:pt idx="1220">
                  <c:v>45995</c:v>
                </c:pt>
                <c:pt idx="1221">
                  <c:v>45996</c:v>
                </c:pt>
                <c:pt idx="1222">
                  <c:v>45999</c:v>
                </c:pt>
                <c:pt idx="1223">
                  <c:v>46000</c:v>
                </c:pt>
                <c:pt idx="1224">
                  <c:v>46001</c:v>
                </c:pt>
                <c:pt idx="1225">
                  <c:v>46002</c:v>
                </c:pt>
                <c:pt idx="1226">
                  <c:v>46003</c:v>
                </c:pt>
                <c:pt idx="1227">
                  <c:v>46006</c:v>
                </c:pt>
                <c:pt idx="1228">
                  <c:v>46007</c:v>
                </c:pt>
                <c:pt idx="1229">
                  <c:v>46008</c:v>
                </c:pt>
                <c:pt idx="1230">
                  <c:v>46009</c:v>
                </c:pt>
                <c:pt idx="1231">
                  <c:v>46010</c:v>
                </c:pt>
                <c:pt idx="1232">
                  <c:v>46013</c:v>
                </c:pt>
                <c:pt idx="1233">
                  <c:v>46014</c:v>
                </c:pt>
                <c:pt idx="1234">
                  <c:v>46015</c:v>
                </c:pt>
                <c:pt idx="1235">
                  <c:v>46017</c:v>
                </c:pt>
                <c:pt idx="1236">
                  <c:v>46020</c:v>
                </c:pt>
                <c:pt idx="1237">
                  <c:v>46021</c:v>
                </c:pt>
                <c:pt idx="1238">
                  <c:v>46022</c:v>
                </c:pt>
                <c:pt idx="1239">
                  <c:v>46023</c:v>
                </c:pt>
                <c:pt idx="1240">
                  <c:v>46024</c:v>
                </c:pt>
              </c:numCache>
            </c:numRef>
          </c:cat>
          <c:val>
            <c:numRef>
              <c:f>'share price'!$C$4:$C$1244</c:f>
              <c:numCache>
                <c:formatCode>General</c:formatCode>
                <c:ptCount val="1241"/>
                <c:pt idx="0">
                  <c:v>213.9</c:v>
                </c:pt>
                <c:pt idx="1">
                  <c:v>211.75</c:v>
                </c:pt>
                <c:pt idx="2">
                  <c:v>205.3</c:v>
                </c:pt>
                <c:pt idx="3">
                  <c:v>203.25</c:v>
                </c:pt>
                <c:pt idx="4">
                  <c:v>202.1</c:v>
                </c:pt>
                <c:pt idx="5">
                  <c:v>202.65</c:v>
                </c:pt>
                <c:pt idx="6">
                  <c:v>206.5</c:v>
                </c:pt>
                <c:pt idx="7">
                  <c:v>211.2</c:v>
                </c:pt>
                <c:pt idx="8">
                  <c:v>214.1</c:v>
                </c:pt>
                <c:pt idx="9">
                  <c:v>217.9</c:v>
                </c:pt>
                <c:pt idx="10">
                  <c:v>218.05</c:v>
                </c:pt>
                <c:pt idx="11">
                  <c:v>218.95</c:v>
                </c:pt>
                <c:pt idx="12">
                  <c:v>217.2</c:v>
                </c:pt>
                <c:pt idx="13">
                  <c:v>215.15</c:v>
                </c:pt>
                <c:pt idx="14">
                  <c:v>211.2</c:v>
                </c:pt>
                <c:pt idx="15">
                  <c:v>208.15</c:v>
                </c:pt>
                <c:pt idx="16">
                  <c:v>210.75</c:v>
                </c:pt>
                <c:pt idx="17">
                  <c:v>206.85</c:v>
                </c:pt>
                <c:pt idx="18">
                  <c:v>203.25</c:v>
                </c:pt>
                <c:pt idx="19">
                  <c:v>216.55</c:v>
                </c:pt>
                <c:pt idx="20">
                  <c:v>218.45</c:v>
                </c:pt>
                <c:pt idx="21">
                  <c:v>216.55</c:v>
                </c:pt>
                <c:pt idx="22">
                  <c:v>230.05</c:v>
                </c:pt>
                <c:pt idx="23">
                  <c:v>233.75</c:v>
                </c:pt>
                <c:pt idx="24">
                  <c:v>233.45</c:v>
                </c:pt>
                <c:pt idx="25">
                  <c:v>228.8</c:v>
                </c:pt>
                <c:pt idx="26">
                  <c:v>228.2</c:v>
                </c:pt>
                <c:pt idx="27">
                  <c:v>226.6</c:v>
                </c:pt>
                <c:pt idx="28">
                  <c:v>217.6</c:v>
                </c:pt>
                <c:pt idx="29">
                  <c:v>218.75</c:v>
                </c:pt>
                <c:pt idx="30">
                  <c:v>218.4</c:v>
                </c:pt>
                <c:pt idx="31">
                  <c:v>217.95</c:v>
                </c:pt>
                <c:pt idx="32">
                  <c:v>219.1</c:v>
                </c:pt>
                <c:pt idx="33">
                  <c:v>216.5</c:v>
                </c:pt>
                <c:pt idx="34">
                  <c:v>206.95</c:v>
                </c:pt>
                <c:pt idx="35">
                  <c:v>208.7</c:v>
                </c:pt>
                <c:pt idx="36">
                  <c:v>208.65</c:v>
                </c:pt>
                <c:pt idx="37">
                  <c:v>209.2</c:v>
                </c:pt>
                <c:pt idx="38">
                  <c:v>203.65</c:v>
                </c:pt>
                <c:pt idx="39">
                  <c:v>207</c:v>
                </c:pt>
                <c:pt idx="40">
                  <c:v>210</c:v>
                </c:pt>
                <c:pt idx="41">
                  <c:v>209.95</c:v>
                </c:pt>
                <c:pt idx="42">
                  <c:v>209.8</c:v>
                </c:pt>
                <c:pt idx="43">
                  <c:v>209.9</c:v>
                </c:pt>
                <c:pt idx="44">
                  <c:v>207.9</c:v>
                </c:pt>
                <c:pt idx="45">
                  <c:v>207.65</c:v>
                </c:pt>
                <c:pt idx="46">
                  <c:v>206.4</c:v>
                </c:pt>
                <c:pt idx="47">
                  <c:v>205.2</c:v>
                </c:pt>
                <c:pt idx="48">
                  <c:v>205.5</c:v>
                </c:pt>
                <c:pt idx="49">
                  <c:v>208.35</c:v>
                </c:pt>
                <c:pt idx="50">
                  <c:v>210.95</c:v>
                </c:pt>
                <c:pt idx="51">
                  <c:v>219</c:v>
                </c:pt>
                <c:pt idx="52">
                  <c:v>222.8</c:v>
                </c:pt>
                <c:pt idx="53">
                  <c:v>226</c:v>
                </c:pt>
                <c:pt idx="54">
                  <c:v>222.05</c:v>
                </c:pt>
                <c:pt idx="55">
                  <c:v>216.3</c:v>
                </c:pt>
                <c:pt idx="56">
                  <c:v>213.9</c:v>
                </c:pt>
                <c:pt idx="57">
                  <c:v>210.9</c:v>
                </c:pt>
                <c:pt idx="58">
                  <c:v>214.65</c:v>
                </c:pt>
                <c:pt idx="59">
                  <c:v>217.8</c:v>
                </c:pt>
                <c:pt idx="60">
                  <c:v>220.05</c:v>
                </c:pt>
                <c:pt idx="61">
                  <c:v>211.95</c:v>
                </c:pt>
                <c:pt idx="62">
                  <c:v>212.8</c:v>
                </c:pt>
                <c:pt idx="63">
                  <c:v>213.65</c:v>
                </c:pt>
                <c:pt idx="64">
                  <c:v>213.5</c:v>
                </c:pt>
                <c:pt idx="65">
                  <c:v>213.25</c:v>
                </c:pt>
                <c:pt idx="66">
                  <c:v>205.3</c:v>
                </c:pt>
                <c:pt idx="67">
                  <c:v>208.65</c:v>
                </c:pt>
                <c:pt idx="68">
                  <c:v>207.1</c:v>
                </c:pt>
                <c:pt idx="69">
                  <c:v>208</c:v>
                </c:pt>
                <c:pt idx="70">
                  <c:v>206</c:v>
                </c:pt>
                <c:pt idx="71">
                  <c:v>203.15</c:v>
                </c:pt>
                <c:pt idx="72">
                  <c:v>205.85</c:v>
                </c:pt>
                <c:pt idx="73">
                  <c:v>205.05</c:v>
                </c:pt>
                <c:pt idx="74">
                  <c:v>205.5</c:v>
                </c:pt>
                <c:pt idx="75">
                  <c:v>205.5</c:v>
                </c:pt>
                <c:pt idx="76">
                  <c:v>205.65</c:v>
                </c:pt>
                <c:pt idx="77">
                  <c:v>204.4</c:v>
                </c:pt>
                <c:pt idx="78">
                  <c:v>202.4</c:v>
                </c:pt>
                <c:pt idx="79">
                  <c:v>201.1</c:v>
                </c:pt>
                <c:pt idx="80">
                  <c:v>199.75</c:v>
                </c:pt>
                <c:pt idx="81">
                  <c:v>202</c:v>
                </c:pt>
                <c:pt idx="82">
                  <c:v>203</c:v>
                </c:pt>
                <c:pt idx="83">
                  <c:v>205.5</c:v>
                </c:pt>
                <c:pt idx="84">
                  <c:v>205.8</c:v>
                </c:pt>
                <c:pt idx="85">
                  <c:v>204.1</c:v>
                </c:pt>
                <c:pt idx="86">
                  <c:v>203.6</c:v>
                </c:pt>
                <c:pt idx="87">
                  <c:v>213.05</c:v>
                </c:pt>
                <c:pt idx="88">
                  <c:v>212.75</c:v>
                </c:pt>
                <c:pt idx="89">
                  <c:v>210.2</c:v>
                </c:pt>
                <c:pt idx="90">
                  <c:v>207.85</c:v>
                </c:pt>
                <c:pt idx="91">
                  <c:v>207.1</c:v>
                </c:pt>
                <c:pt idx="92">
                  <c:v>209.05</c:v>
                </c:pt>
                <c:pt idx="93">
                  <c:v>211.55</c:v>
                </c:pt>
                <c:pt idx="94">
                  <c:v>211.05</c:v>
                </c:pt>
                <c:pt idx="95">
                  <c:v>210.9</c:v>
                </c:pt>
                <c:pt idx="96">
                  <c:v>211.2</c:v>
                </c:pt>
                <c:pt idx="97">
                  <c:v>212.9</c:v>
                </c:pt>
                <c:pt idx="98">
                  <c:v>217</c:v>
                </c:pt>
                <c:pt idx="99">
                  <c:v>215.9</c:v>
                </c:pt>
                <c:pt idx="100">
                  <c:v>209.05</c:v>
                </c:pt>
                <c:pt idx="101">
                  <c:v>209.1</c:v>
                </c:pt>
                <c:pt idx="102">
                  <c:v>209.55</c:v>
                </c:pt>
                <c:pt idx="103">
                  <c:v>211.75</c:v>
                </c:pt>
                <c:pt idx="104">
                  <c:v>213.8</c:v>
                </c:pt>
                <c:pt idx="105">
                  <c:v>212.55</c:v>
                </c:pt>
                <c:pt idx="106">
                  <c:v>209.75</c:v>
                </c:pt>
                <c:pt idx="107">
                  <c:v>208</c:v>
                </c:pt>
                <c:pt idx="108">
                  <c:v>207.55</c:v>
                </c:pt>
                <c:pt idx="109">
                  <c:v>207.1</c:v>
                </c:pt>
                <c:pt idx="110">
                  <c:v>207.45</c:v>
                </c:pt>
                <c:pt idx="111">
                  <c:v>205.5</c:v>
                </c:pt>
                <c:pt idx="112">
                  <c:v>204.85</c:v>
                </c:pt>
                <c:pt idx="113">
                  <c:v>204.7</c:v>
                </c:pt>
                <c:pt idx="114">
                  <c:v>205.2</c:v>
                </c:pt>
                <c:pt idx="115">
                  <c:v>204.05</c:v>
                </c:pt>
                <c:pt idx="116">
                  <c:v>203.95</c:v>
                </c:pt>
                <c:pt idx="117">
                  <c:v>205</c:v>
                </c:pt>
                <c:pt idx="118">
                  <c:v>203.7</c:v>
                </c:pt>
                <c:pt idx="119">
                  <c:v>203.25</c:v>
                </c:pt>
                <c:pt idx="120">
                  <c:v>202.7</c:v>
                </c:pt>
                <c:pt idx="121">
                  <c:v>203.1</c:v>
                </c:pt>
                <c:pt idx="122">
                  <c:v>202.45</c:v>
                </c:pt>
                <c:pt idx="123">
                  <c:v>203.65</c:v>
                </c:pt>
                <c:pt idx="124">
                  <c:v>202.6</c:v>
                </c:pt>
                <c:pt idx="125">
                  <c:v>203.9</c:v>
                </c:pt>
                <c:pt idx="126">
                  <c:v>202.05</c:v>
                </c:pt>
                <c:pt idx="127">
                  <c:v>201.45</c:v>
                </c:pt>
                <c:pt idx="128">
                  <c:v>201.1</c:v>
                </c:pt>
                <c:pt idx="129">
                  <c:v>202.05</c:v>
                </c:pt>
                <c:pt idx="130">
                  <c:v>203.95</c:v>
                </c:pt>
                <c:pt idx="131">
                  <c:v>206.4</c:v>
                </c:pt>
                <c:pt idx="132">
                  <c:v>207.85</c:v>
                </c:pt>
                <c:pt idx="133">
                  <c:v>208</c:v>
                </c:pt>
                <c:pt idx="134">
                  <c:v>206.6</c:v>
                </c:pt>
                <c:pt idx="135">
                  <c:v>207</c:v>
                </c:pt>
                <c:pt idx="136">
                  <c:v>212.45</c:v>
                </c:pt>
                <c:pt idx="137">
                  <c:v>211.05</c:v>
                </c:pt>
                <c:pt idx="138">
                  <c:v>208.8</c:v>
                </c:pt>
                <c:pt idx="139">
                  <c:v>209.2</c:v>
                </c:pt>
                <c:pt idx="140">
                  <c:v>206</c:v>
                </c:pt>
                <c:pt idx="141">
                  <c:v>205.05</c:v>
                </c:pt>
                <c:pt idx="142">
                  <c:v>207.2</c:v>
                </c:pt>
                <c:pt idx="143">
                  <c:v>209.75</c:v>
                </c:pt>
                <c:pt idx="144">
                  <c:v>208.65</c:v>
                </c:pt>
                <c:pt idx="145">
                  <c:v>215</c:v>
                </c:pt>
                <c:pt idx="146">
                  <c:v>214.6</c:v>
                </c:pt>
                <c:pt idx="147">
                  <c:v>213.7</c:v>
                </c:pt>
                <c:pt idx="148">
                  <c:v>210</c:v>
                </c:pt>
                <c:pt idx="149">
                  <c:v>208.7</c:v>
                </c:pt>
                <c:pt idx="150">
                  <c:v>208.9</c:v>
                </c:pt>
                <c:pt idx="151">
                  <c:v>211.35</c:v>
                </c:pt>
                <c:pt idx="152">
                  <c:v>211</c:v>
                </c:pt>
                <c:pt idx="153">
                  <c:v>208.95</c:v>
                </c:pt>
                <c:pt idx="154">
                  <c:v>209.3</c:v>
                </c:pt>
                <c:pt idx="155">
                  <c:v>208.4</c:v>
                </c:pt>
                <c:pt idx="156">
                  <c:v>206.2</c:v>
                </c:pt>
                <c:pt idx="157">
                  <c:v>205.75</c:v>
                </c:pt>
                <c:pt idx="158">
                  <c:v>206.3</c:v>
                </c:pt>
                <c:pt idx="159">
                  <c:v>204.85</c:v>
                </c:pt>
                <c:pt idx="160">
                  <c:v>206.05</c:v>
                </c:pt>
                <c:pt idx="161">
                  <c:v>208.05</c:v>
                </c:pt>
                <c:pt idx="162">
                  <c:v>211</c:v>
                </c:pt>
                <c:pt idx="163">
                  <c:v>209.55</c:v>
                </c:pt>
                <c:pt idx="164">
                  <c:v>209.75</c:v>
                </c:pt>
                <c:pt idx="165">
                  <c:v>210.45</c:v>
                </c:pt>
                <c:pt idx="166">
                  <c:v>209.05</c:v>
                </c:pt>
                <c:pt idx="167">
                  <c:v>211.85</c:v>
                </c:pt>
                <c:pt idx="168">
                  <c:v>211.05</c:v>
                </c:pt>
                <c:pt idx="169">
                  <c:v>212.95</c:v>
                </c:pt>
                <c:pt idx="170">
                  <c:v>213.9</c:v>
                </c:pt>
                <c:pt idx="171">
                  <c:v>216.75</c:v>
                </c:pt>
                <c:pt idx="172">
                  <c:v>215.7</c:v>
                </c:pt>
                <c:pt idx="173">
                  <c:v>230.3</c:v>
                </c:pt>
                <c:pt idx="174">
                  <c:v>231.5</c:v>
                </c:pt>
                <c:pt idx="175">
                  <c:v>232.95</c:v>
                </c:pt>
                <c:pt idx="176">
                  <c:v>241.55</c:v>
                </c:pt>
                <c:pt idx="177">
                  <c:v>243</c:v>
                </c:pt>
                <c:pt idx="178">
                  <c:v>242.35</c:v>
                </c:pt>
                <c:pt idx="179">
                  <c:v>238.2</c:v>
                </c:pt>
                <c:pt idx="180">
                  <c:v>238.5</c:v>
                </c:pt>
                <c:pt idx="181">
                  <c:v>237.25</c:v>
                </c:pt>
                <c:pt idx="182">
                  <c:v>237.85</c:v>
                </c:pt>
                <c:pt idx="183">
                  <c:v>235.8</c:v>
                </c:pt>
                <c:pt idx="184">
                  <c:v>235.25</c:v>
                </c:pt>
                <c:pt idx="185">
                  <c:v>236.6</c:v>
                </c:pt>
                <c:pt idx="186">
                  <c:v>234.6</c:v>
                </c:pt>
                <c:pt idx="187">
                  <c:v>230.9</c:v>
                </c:pt>
                <c:pt idx="188">
                  <c:v>232.95</c:v>
                </c:pt>
                <c:pt idx="189">
                  <c:v>231.9</c:v>
                </c:pt>
                <c:pt idx="190">
                  <c:v>238.2</c:v>
                </c:pt>
                <c:pt idx="191">
                  <c:v>241.3</c:v>
                </c:pt>
                <c:pt idx="192">
                  <c:v>250.9</c:v>
                </c:pt>
                <c:pt idx="193">
                  <c:v>256.3</c:v>
                </c:pt>
                <c:pt idx="194">
                  <c:v>261.8</c:v>
                </c:pt>
                <c:pt idx="195">
                  <c:v>246.1</c:v>
                </c:pt>
                <c:pt idx="196">
                  <c:v>246.5</c:v>
                </c:pt>
                <c:pt idx="197">
                  <c:v>244.7</c:v>
                </c:pt>
                <c:pt idx="198">
                  <c:v>236.5</c:v>
                </c:pt>
                <c:pt idx="199">
                  <c:v>233</c:v>
                </c:pt>
                <c:pt idx="200">
                  <c:v>238.75</c:v>
                </c:pt>
                <c:pt idx="201">
                  <c:v>238.95</c:v>
                </c:pt>
                <c:pt idx="202">
                  <c:v>225.15</c:v>
                </c:pt>
                <c:pt idx="203">
                  <c:v>223.45</c:v>
                </c:pt>
                <c:pt idx="204">
                  <c:v>226.8</c:v>
                </c:pt>
                <c:pt idx="205">
                  <c:v>226</c:v>
                </c:pt>
                <c:pt idx="206">
                  <c:v>222.75</c:v>
                </c:pt>
                <c:pt idx="207">
                  <c:v>227.15</c:v>
                </c:pt>
                <c:pt idx="208">
                  <c:v>229.65</c:v>
                </c:pt>
                <c:pt idx="209">
                  <c:v>228.85</c:v>
                </c:pt>
                <c:pt idx="210">
                  <c:v>230.75</c:v>
                </c:pt>
                <c:pt idx="211">
                  <c:v>230.2</c:v>
                </c:pt>
                <c:pt idx="212">
                  <c:v>232.85</c:v>
                </c:pt>
                <c:pt idx="213">
                  <c:v>238.15</c:v>
                </c:pt>
                <c:pt idx="214">
                  <c:v>235.25</c:v>
                </c:pt>
                <c:pt idx="215">
                  <c:v>239.3</c:v>
                </c:pt>
                <c:pt idx="216">
                  <c:v>237.65</c:v>
                </c:pt>
                <c:pt idx="217">
                  <c:v>230.65</c:v>
                </c:pt>
                <c:pt idx="218">
                  <c:v>231.6</c:v>
                </c:pt>
                <c:pt idx="219">
                  <c:v>227.2</c:v>
                </c:pt>
                <c:pt idx="220">
                  <c:v>231.75</c:v>
                </c:pt>
                <c:pt idx="221">
                  <c:v>223.6</c:v>
                </c:pt>
                <c:pt idx="222">
                  <c:v>221.7</c:v>
                </c:pt>
                <c:pt idx="223">
                  <c:v>221.7</c:v>
                </c:pt>
                <c:pt idx="224">
                  <c:v>222.45</c:v>
                </c:pt>
                <c:pt idx="225">
                  <c:v>225.4</c:v>
                </c:pt>
                <c:pt idx="226">
                  <c:v>221.5</c:v>
                </c:pt>
                <c:pt idx="227">
                  <c:v>217.7</c:v>
                </c:pt>
                <c:pt idx="228">
                  <c:v>220.7</c:v>
                </c:pt>
                <c:pt idx="229">
                  <c:v>224.7</c:v>
                </c:pt>
                <c:pt idx="230">
                  <c:v>236</c:v>
                </c:pt>
                <c:pt idx="231">
                  <c:v>235.9</c:v>
                </c:pt>
                <c:pt idx="232">
                  <c:v>234.7</c:v>
                </c:pt>
                <c:pt idx="233">
                  <c:v>228.2</c:v>
                </c:pt>
                <c:pt idx="234">
                  <c:v>223.95</c:v>
                </c:pt>
                <c:pt idx="235">
                  <c:v>223.4</c:v>
                </c:pt>
                <c:pt idx="236">
                  <c:v>218.1</c:v>
                </c:pt>
                <c:pt idx="237">
                  <c:v>212.5</c:v>
                </c:pt>
                <c:pt idx="238">
                  <c:v>212.5</c:v>
                </c:pt>
                <c:pt idx="239">
                  <c:v>212.3</c:v>
                </c:pt>
                <c:pt idx="240">
                  <c:v>217.4</c:v>
                </c:pt>
                <c:pt idx="241">
                  <c:v>218</c:v>
                </c:pt>
                <c:pt idx="242">
                  <c:v>217.7</c:v>
                </c:pt>
                <c:pt idx="243">
                  <c:v>219.8</c:v>
                </c:pt>
                <c:pt idx="244">
                  <c:v>216.6</c:v>
                </c:pt>
                <c:pt idx="245">
                  <c:v>216.45</c:v>
                </c:pt>
                <c:pt idx="246">
                  <c:v>218</c:v>
                </c:pt>
                <c:pt idx="247">
                  <c:v>219.1</c:v>
                </c:pt>
                <c:pt idx="248">
                  <c:v>219.8</c:v>
                </c:pt>
                <c:pt idx="249">
                  <c:v>220.35</c:v>
                </c:pt>
                <c:pt idx="250">
                  <c:v>218.75</c:v>
                </c:pt>
                <c:pt idx="251">
                  <c:v>218.45</c:v>
                </c:pt>
                <c:pt idx="252">
                  <c:v>223.3</c:v>
                </c:pt>
                <c:pt idx="253">
                  <c:v>222</c:v>
                </c:pt>
                <c:pt idx="254">
                  <c:v>222.5</c:v>
                </c:pt>
                <c:pt idx="255">
                  <c:v>223.9</c:v>
                </c:pt>
                <c:pt idx="256">
                  <c:v>222.9</c:v>
                </c:pt>
                <c:pt idx="257">
                  <c:v>224.75</c:v>
                </c:pt>
                <c:pt idx="258">
                  <c:v>220.6</c:v>
                </c:pt>
                <c:pt idx="259">
                  <c:v>220.4</c:v>
                </c:pt>
                <c:pt idx="260">
                  <c:v>219.1</c:v>
                </c:pt>
                <c:pt idx="261">
                  <c:v>217.3</c:v>
                </c:pt>
                <c:pt idx="262">
                  <c:v>211.65</c:v>
                </c:pt>
                <c:pt idx="263">
                  <c:v>214.05</c:v>
                </c:pt>
                <c:pt idx="264">
                  <c:v>215.35</c:v>
                </c:pt>
                <c:pt idx="265">
                  <c:v>217.5</c:v>
                </c:pt>
                <c:pt idx="266">
                  <c:v>220</c:v>
                </c:pt>
                <c:pt idx="267">
                  <c:v>227.9</c:v>
                </c:pt>
                <c:pt idx="268">
                  <c:v>231.85</c:v>
                </c:pt>
                <c:pt idx="269">
                  <c:v>233.5</c:v>
                </c:pt>
                <c:pt idx="270">
                  <c:v>233.6</c:v>
                </c:pt>
                <c:pt idx="271">
                  <c:v>230.35</c:v>
                </c:pt>
                <c:pt idx="272">
                  <c:v>230.95</c:v>
                </c:pt>
                <c:pt idx="273">
                  <c:v>230.15</c:v>
                </c:pt>
                <c:pt idx="274">
                  <c:v>231.5</c:v>
                </c:pt>
                <c:pt idx="275">
                  <c:v>231.85</c:v>
                </c:pt>
                <c:pt idx="276">
                  <c:v>219</c:v>
                </c:pt>
                <c:pt idx="277">
                  <c:v>223.1</c:v>
                </c:pt>
                <c:pt idx="278">
                  <c:v>222.4</c:v>
                </c:pt>
                <c:pt idx="279">
                  <c:v>222.7</c:v>
                </c:pt>
                <c:pt idx="280">
                  <c:v>221.75</c:v>
                </c:pt>
                <c:pt idx="281">
                  <c:v>218.1</c:v>
                </c:pt>
                <c:pt idx="282">
                  <c:v>214.65</c:v>
                </c:pt>
                <c:pt idx="283">
                  <c:v>215.75</c:v>
                </c:pt>
                <c:pt idx="284">
                  <c:v>209.35</c:v>
                </c:pt>
                <c:pt idx="285">
                  <c:v>214.15</c:v>
                </c:pt>
                <c:pt idx="286">
                  <c:v>215.9</c:v>
                </c:pt>
                <c:pt idx="287">
                  <c:v>215.4</c:v>
                </c:pt>
                <c:pt idx="288">
                  <c:v>219.35</c:v>
                </c:pt>
                <c:pt idx="289">
                  <c:v>225</c:v>
                </c:pt>
                <c:pt idx="290">
                  <c:v>225.95</c:v>
                </c:pt>
                <c:pt idx="291">
                  <c:v>226.8</c:v>
                </c:pt>
                <c:pt idx="292">
                  <c:v>229</c:v>
                </c:pt>
                <c:pt idx="293">
                  <c:v>231.45</c:v>
                </c:pt>
                <c:pt idx="294">
                  <c:v>234.95</c:v>
                </c:pt>
                <c:pt idx="295">
                  <c:v>239</c:v>
                </c:pt>
                <c:pt idx="296">
                  <c:v>238.2</c:v>
                </c:pt>
                <c:pt idx="297">
                  <c:v>242.4</c:v>
                </c:pt>
                <c:pt idx="298">
                  <c:v>244.55</c:v>
                </c:pt>
                <c:pt idx="299">
                  <c:v>244.5</c:v>
                </c:pt>
                <c:pt idx="300">
                  <c:v>249.95</c:v>
                </c:pt>
                <c:pt idx="301">
                  <c:v>251.9</c:v>
                </c:pt>
                <c:pt idx="302">
                  <c:v>254.75</c:v>
                </c:pt>
                <c:pt idx="303">
                  <c:v>252.7</c:v>
                </c:pt>
                <c:pt idx="304">
                  <c:v>256.2</c:v>
                </c:pt>
                <c:pt idx="305">
                  <c:v>254.3</c:v>
                </c:pt>
                <c:pt idx="306">
                  <c:v>249.05</c:v>
                </c:pt>
                <c:pt idx="307">
                  <c:v>250.7</c:v>
                </c:pt>
                <c:pt idx="308">
                  <c:v>255.05</c:v>
                </c:pt>
                <c:pt idx="309">
                  <c:v>255.75</c:v>
                </c:pt>
                <c:pt idx="310">
                  <c:v>259</c:v>
                </c:pt>
                <c:pt idx="311">
                  <c:v>260</c:v>
                </c:pt>
                <c:pt idx="312">
                  <c:v>256.7</c:v>
                </c:pt>
                <c:pt idx="313">
                  <c:v>268.75</c:v>
                </c:pt>
                <c:pt idx="314">
                  <c:v>267.10000000000002</c:v>
                </c:pt>
                <c:pt idx="315">
                  <c:v>264.60000000000002</c:v>
                </c:pt>
                <c:pt idx="316">
                  <c:v>269.10000000000002</c:v>
                </c:pt>
                <c:pt idx="317">
                  <c:v>270.35000000000002</c:v>
                </c:pt>
                <c:pt idx="318">
                  <c:v>259.25</c:v>
                </c:pt>
                <c:pt idx="319">
                  <c:v>259.8</c:v>
                </c:pt>
                <c:pt idx="320">
                  <c:v>260.25</c:v>
                </c:pt>
                <c:pt idx="321">
                  <c:v>261.10000000000002</c:v>
                </c:pt>
                <c:pt idx="322">
                  <c:v>255.5</c:v>
                </c:pt>
                <c:pt idx="323">
                  <c:v>258.85000000000002</c:v>
                </c:pt>
                <c:pt idx="324">
                  <c:v>257.2</c:v>
                </c:pt>
                <c:pt idx="325">
                  <c:v>261.95</c:v>
                </c:pt>
                <c:pt idx="326">
                  <c:v>259.5</c:v>
                </c:pt>
                <c:pt idx="327">
                  <c:v>263.8</c:v>
                </c:pt>
                <c:pt idx="328">
                  <c:v>260.3</c:v>
                </c:pt>
                <c:pt idx="329">
                  <c:v>262</c:v>
                </c:pt>
                <c:pt idx="330">
                  <c:v>265.64999999999998</c:v>
                </c:pt>
                <c:pt idx="331">
                  <c:v>263.14999999999998</c:v>
                </c:pt>
                <c:pt idx="332">
                  <c:v>259.5</c:v>
                </c:pt>
                <c:pt idx="333">
                  <c:v>255.6</c:v>
                </c:pt>
                <c:pt idx="334">
                  <c:v>253.45</c:v>
                </c:pt>
                <c:pt idx="335">
                  <c:v>258</c:v>
                </c:pt>
                <c:pt idx="336">
                  <c:v>254.35</c:v>
                </c:pt>
                <c:pt idx="337">
                  <c:v>265</c:v>
                </c:pt>
                <c:pt idx="338">
                  <c:v>266.5</c:v>
                </c:pt>
                <c:pt idx="339">
                  <c:v>275.75</c:v>
                </c:pt>
                <c:pt idx="340">
                  <c:v>280.05</c:v>
                </c:pt>
                <c:pt idx="341">
                  <c:v>273.60000000000002</c:v>
                </c:pt>
                <c:pt idx="342">
                  <c:v>271</c:v>
                </c:pt>
                <c:pt idx="343">
                  <c:v>272.55</c:v>
                </c:pt>
                <c:pt idx="344">
                  <c:v>266.89999999999998</c:v>
                </c:pt>
                <c:pt idx="345">
                  <c:v>269.25</c:v>
                </c:pt>
                <c:pt idx="346">
                  <c:v>269</c:v>
                </c:pt>
                <c:pt idx="347">
                  <c:v>271.2</c:v>
                </c:pt>
                <c:pt idx="348">
                  <c:v>271.5</c:v>
                </c:pt>
                <c:pt idx="349">
                  <c:v>273</c:v>
                </c:pt>
                <c:pt idx="350">
                  <c:v>272.39999999999998</c:v>
                </c:pt>
                <c:pt idx="351">
                  <c:v>274.45</c:v>
                </c:pt>
                <c:pt idx="352">
                  <c:v>273.95</c:v>
                </c:pt>
                <c:pt idx="353">
                  <c:v>267.8</c:v>
                </c:pt>
                <c:pt idx="354">
                  <c:v>270.89999999999998</c:v>
                </c:pt>
                <c:pt idx="355">
                  <c:v>269.95</c:v>
                </c:pt>
                <c:pt idx="356">
                  <c:v>264.55</c:v>
                </c:pt>
                <c:pt idx="357">
                  <c:v>266</c:v>
                </c:pt>
                <c:pt idx="358">
                  <c:v>263.5</c:v>
                </c:pt>
                <c:pt idx="359">
                  <c:v>260.39999999999998</c:v>
                </c:pt>
                <c:pt idx="360">
                  <c:v>263.5</c:v>
                </c:pt>
                <c:pt idx="361">
                  <c:v>263.89999999999998</c:v>
                </c:pt>
                <c:pt idx="362">
                  <c:v>269.60000000000002</c:v>
                </c:pt>
                <c:pt idx="363">
                  <c:v>265</c:v>
                </c:pt>
                <c:pt idx="364">
                  <c:v>266.35000000000002</c:v>
                </c:pt>
                <c:pt idx="365">
                  <c:v>266</c:v>
                </c:pt>
                <c:pt idx="366">
                  <c:v>270</c:v>
                </c:pt>
                <c:pt idx="367">
                  <c:v>271.7</c:v>
                </c:pt>
                <c:pt idx="368">
                  <c:v>273.35000000000002</c:v>
                </c:pt>
                <c:pt idx="369">
                  <c:v>272.14999999999998</c:v>
                </c:pt>
                <c:pt idx="370">
                  <c:v>284.75</c:v>
                </c:pt>
                <c:pt idx="371">
                  <c:v>291.5</c:v>
                </c:pt>
                <c:pt idx="372">
                  <c:v>286.75</c:v>
                </c:pt>
                <c:pt idx="373">
                  <c:v>289.3</c:v>
                </c:pt>
                <c:pt idx="374">
                  <c:v>291.8</c:v>
                </c:pt>
                <c:pt idx="375">
                  <c:v>293.05</c:v>
                </c:pt>
                <c:pt idx="376">
                  <c:v>294.8</c:v>
                </c:pt>
                <c:pt idx="377">
                  <c:v>292.39999999999998</c:v>
                </c:pt>
                <c:pt idx="378">
                  <c:v>294</c:v>
                </c:pt>
                <c:pt idx="379">
                  <c:v>290.39999999999998</c:v>
                </c:pt>
                <c:pt idx="380">
                  <c:v>293.8</c:v>
                </c:pt>
                <c:pt idx="381">
                  <c:v>295.45</c:v>
                </c:pt>
                <c:pt idx="382">
                  <c:v>294.45</c:v>
                </c:pt>
                <c:pt idx="383">
                  <c:v>297.8</c:v>
                </c:pt>
                <c:pt idx="384">
                  <c:v>299.45</c:v>
                </c:pt>
                <c:pt idx="385">
                  <c:v>299.89999999999998</c:v>
                </c:pt>
                <c:pt idx="386">
                  <c:v>300.95</c:v>
                </c:pt>
                <c:pt idx="387">
                  <c:v>302.10000000000002</c:v>
                </c:pt>
                <c:pt idx="388">
                  <c:v>304.2</c:v>
                </c:pt>
                <c:pt idx="389">
                  <c:v>303.25</c:v>
                </c:pt>
                <c:pt idx="390">
                  <c:v>303.89999999999998</c:v>
                </c:pt>
                <c:pt idx="391">
                  <c:v>307.8</c:v>
                </c:pt>
                <c:pt idx="392">
                  <c:v>309.3</c:v>
                </c:pt>
                <c:pt idx="393">
                  <c:v>308</c:v>
                </c:pt>
                <c:pt idx="394">
                  <c:v>309.39999999999998</c:v>
                </c:pt>
                <c:pt idx="395">
                  <c:v>311.10000000000002</c:v>
                </c:pt>
                <c:pt idx="396">
                  <c:v>313</c:v>
                </c:pt>
                <c:pt idx="397">
                  <c:v>311.3</c:v>
                </c:pt>
                <c:pt idx="398">
                  <c:v>305.75</c:v>
                </c:pt>
                <c:pt idx="399">
                  <c:v>308.05</c:v>
                </c:pt>
                <c:pt idx="400">
                  <c:v>310.60000000000002</c:v>
                </c:pt>
                <c:pt idx="401">
                  <c:v>312.5</c:v>
                </c:pt>
                <c:pt idx="402">
                  <c:v>315.35000000000002</c:v>
                </c:pt>
                <c:pt idx="403">
                  <c:v>311.89999999999998</c:v>
                </c:pt>
                <c:pt idx="404">
                  <c:v>313.85000000000002</c:v>
                </c:pt>
                <c:pt idx="405">
                  <c:v>315.95</c:v>
                </c:pt>
                <c:pt idx="406">
                  <c:v>313.89999999999998</c:v>
                </c:pt>
                <c:pt idx="407">
                  <c:v>312.7</c:v>
                </c:pt>
                <c:pt idx="408">
                  <c:v>313.35000000000002</c:v>
                </c:pt>
                <c:pt idx="409">
                  <c:v>313.85000000000002</c:v>
                </c:pt>
                <c:pt idx="410">
                  <c:v>320.7</c:v>
                </c:pt>
                <c:pt idx="411">
                  <c:v>317.89999999999998</c:v>
                </c:pt>
                <c:pt idx="412">
                  <c:v>323.35000000000002</c:v>
                </c:pt>
                <c:pt idx="413">
                  <c:v>328.75</c:v>
                </c:pt>
                <c:pt idx="414">
                  <c:v>326.89999999999998</c:v>
                </c:pt>
                <c:pt idx="415">
                  <c:v>326</c:v>
                </c:pt>
                <c:pt idx="416">
                  <c:v>330</c:v>
                </c:pt>
                <c:pt idx="417">
                  <c:v>330.15</c:v>
                </c:pt>
                <c:pt idx="418">
                  <c:v>330.9</c:v>
                </c:pt>
                <c:pt idx="419">
                  <c:v>333.75</c:v>
                </c:pt>
                <c:pt idx="420">
                  <c:v>335.75</c:v>
                </c:pt>
                <c:pt idx="421">
                  <c:v>333.6</c:v>
                </c:pt>
                <c:pt idx="422">
                  <c:v>331.5</c:v>
                </c:pt>
                <c:pt idx="423">
                  <c:v>335.6</c:v>
                </c:pt>
                <c:pt idx="424">
                  <c:v>335.25</c:v>
                </c:pt>
                <c:pt idx="425">
                  <c:v>340.6</c:v>
                </c:pt>
                <c:pt idx="426">
                  <c:v>345.75</c:v>
                </c:pt>
                <c:pt idx="427">
                  <c:v>347</c:v>
                </c:pt>
                <c:pt idx="428">
                  <c:v>332.5</c:v>
                </c:pt>
                <c:pt idx="429">
                  <c:v>335.55</c:v>
                </c:pt>
                <c:pt idx="430">
                  <c:v>324.5</c:v>
                </c:pt>
                <c:pt idx="431">
                  <c:v>334.35</c:v>
                </c:pt>
                <c:pt idx="432">
                  <c:v>332.2</c:v>
                </c:pt>
                <c:pt idx="433">
                  <c:v>324.89999999999998</c:v>
                </c:pt>
                <c:pt idx="434">
                  <c:v>333.1</c:v>
                </c:pt>
                <c:pt idx="435">
                  <c:v>335.9</c:v>
                </c:pt>
                <c:pt idx="436">
                  <c:v>334.45</c:v>
                </c:pt>
                <c:pt idx="437">
                  <c:v>328.15</c:v>
                </c:pt>
                <c:pt idx="438">
                  <c:v>325.89999999999998</c:v>
                </c:pt>
                <c:pt idx="439">
                  <c:v>330</c:v>
                </c:pt>
                <c:pt idx="440">
                  <c:v>328.85</c:v>
                </c:pt>
                <c:pt idx="441">
                  <c:v>332.1</c:v>
                </c:pt>
                <c:pt idx="442">
                  <c:v>332.55</c:v>
                </c:pt>
                <c:pt idx="443">
                  <c:v>340.85</c:v>
                </c:pt>
                <c:pt idx="444">
                  <c:v>347.2</c:v>
                </c:pt>
                <c:pt idx="445">
                  <c:v>350.6</c:v>
                </c:pt>
                <c:pt idx="446">
                  <c:v>344.85</c:v>
                </c:pt>
                <c:pt idx="447">
                  <c:v>347.65</c:v>
                </c:pt>
                <c:pt idx="448">
                  <c:v>346.1</c:v>
                </c:pt>
                <c:pt idx="449">
                  <c:v>346.7</c:v>
                </c:pt>
                <c:pt idx="450">
                  <c:v>346</c:v>
                </c:pt>
                <c:pt idx="451">
                  <c:v>348.95</c:v>
                </c:pt>
                <c:pt idx="452">
                  <c:v>349.5</c:v>
                </c:pt>
                <c:pt idx="453">
                  <c:v>354</c:v>
                </c:pt>
                <c:pt idx="454">
                  <c:v>354.15</c:v>
                </c:pt>
                <c:pt idx="455">
                  <c:v>353.25</c:v>
                </c:pt>
                <c:pt idx="456">
                  <c:v>353.7</c:v>
                </c:pt>
                <c:pt idx="457">
                  <c:v>360.7</c:v>
                </c:pt>
                <c:pt idx="458">
                  <c:v>356</c:v>
                </c:pt>
                <c:pt idx="459">
                  <c:v>358</c:v>
                </c:pt>
                <c:pt idx="460">
                  <c:v>347.45</c:v>
                </c:pt>
                <c:pt idx="461">
                  <c:v>345.5</c:v>
                </c:pt>
                <c:pt idx="462">
                  <c:v>344.5</c:v>
                </c:pt>
                <c:pt idx="463">
                  <c:v>343.8</c:v>
                </c:pt>
                <c:pt idx="464">
                  <c:v>341</c:v>
                </c:pt>
                <c:pt idx="465">
                  <c:v>337.2</c:v>
                </c:pt>
                <c:pt idx="466">
                  <c:v>340</c:v>
                </c:pt>
                <c:pt idx="467">
                  <c:v>339.2</c:v>
                </c:pt>
                <c:pt idx="468">
                  <c:v>341.1</c:v>
                </c:pt>
                <c:pt idx="469">
                  <c:v>340.3</c:v>
                </c:pt>
                <c:pt idx="470">
                  <c:v>339.95</c:v>
                </c:pt>
                <c:pt idx="471">
                  <c:v>342.45</c:v>
                </c:pt>
                <c:pt idx="472">
                  <c:v>340.3</c:v>
                </c:pt>
                <c:pt idx="473">
                  <c:v>339.7</c:v>
                </c:pt>
                <c:pt idx="474">
                  <c:v>337.5</c:v>
                </c:pt>
                <c:pt idx="475">
                  <c:v>336.6</c:v>
                </c:pt>
                <c:pt idx="476">
                  <c:v>337.6</c:v>
                </c:pt>
                <c:pt idx="477">
                  <c:v>340</c:v>
                </c:pt>
                <c:pt idx="478">
                  <c:v>338.3</c:v>
                </c:pt>
                <c:pt idx="479">
                  <c:v>342</c:v>
                </c:pt>
                <c:pt idx="480">
                  <c:v>343.25</c:v>
                </c:pt>
                <c:pt idx="481">
                  <c:v>345.05</c:v>
                </c:pt>
                <c:pt idx="482">
                  <c:v>345.1</c:v>
                </c:pt>
                <c:pt idx="483">
                  <c:v>338.7</c:v>
                </c:pt>
                <c:pt idx="484">
                  <c:v>335.75</c:v>
                </c:pt>
                <c:pt idx="485">
                  <c:v>340.05</c:v>
                </c:pt>
                <c:pt idx="486">
                  <c:v>339.9</c:v>
                </c:pt>
                <c:pt idx="487">
                  <c:v>335.7</c:v>
                </c:pt>
                <c:pt idx="488">
                  <c:v>332.8</c:v>
                </c:pt>
                <c:pt idx="489">
                  <c:v>326.05</c:v>
                </c:pt>
                <c:pt idx="490">
                  <c:v>334.6</c:v>
                </c:pt>
                <c:pt idx="491">
                  <c:v>333.05</c:v>
                </c:pt>
                <c:pt idx="492">
                  <c:v>334.35</c:v>
                </c:pt>
                <c:pt idx="493">
                  <c:v>335.45</c:v>
                </c:pt>
                <c:pt idx="494">
                  <c:v>331</c:v>
                </c:pt>
                <c:pt idx="495">
                  <c:v>332.8</c:v>
                </c:pt>
                <c:pt idx="496">
                  <c:v>331.2</c:v>
                </c:pt>
                <c:pt idx="497">
                  <c:v>326.60000000000002</c:v>
                </c:pt>
                <c:pt idx="498">
                  <c:v>333.6</c:v>
                </c:pt>
                <c:pt idx="499">
                  <c:v>335</c:v>
                </c:pt>
                <c:pt idx="500">
                  <c:v>337.4</c:v>
                </c:pt>
                <c:pt idx="501">
                  <c:v>333.7</c:v>
                </c:pt>
                <c:pt idx="502">
                  <c:v>332.1</c:v>
                </c:pt>
                <c:pt idx="503">
                  <c:v>329.5</c:v>
                </c:pt>
                <c:pt idx="504">
                  <c:v>329.1</c:v>
                </c:pt>
                <c:pt idx="505">
                  <c:v>330.2</c:v>
                </c:pt>
                <c:pt idx="506">
                  <c:v>332</c:v>
                </c:pt>
                <c:pt idx="507">
                  <c:v>335.1</c:v>
                </c:pt>
                <c:pt idx="508">
                  <c:v>332</c:v>
                </c:pt>
                <c:pt idx="509">
                  <c:v>334.45</c:v>
                </c:pt>
                <c:pt idx="510">
                  <c:v>337.6</c:v>
                </c:pt>
                <c:pt idx="511">
                  <c:v>338.9</c:v>
                </c:pt>
                <c:pt idx="512">
                  <c:v>340</c:v>
                </c:pt>
                <c:pt idx="513">
                  <c:v>345.5</c:v>
                </c:pt>
                <c:pt idx="514">
                  <c:v>343.8</c:v>
                </c:pt>
                <c:pt idx="515">
                  <c:v>352.6</c:v>
                </c:pt>
                <c:pt idx="516">
                  <c:v>359.6</c:v>
                </c:pt>
                <c:pt idx="517">
                  <c:v>378.8</c:v>
                </c:pt>
                <c:pt idx="518">
                  <c:v>380.7</c:v>
                </c:pt>
                <c:pt idx="519">
                  <c:v>383.5</c:v>
                </c:pt>
                <c:pt idx="520">
                  <c:v>373.4</c:v>
                </c:pt>
                <c:pt idx="521">
                  <c:v>374.55</c:v>
                </c:pt>
                <c:pt idx="522">
                  <c:v>374.8</c:v>
                </c:pt>
                <c:pt idx="523">
                  <c:v>371.2</c:v>
                </c:pt>
                <c:pt idx="524">
                  <c:v>374.1</c:v>
                </c:pt>
                <c:pt idx="525">
                  <c:v>385.95</c:v>
                </c:pt>
                <c:pt idx="526">
                  <c:v>382.1</c:v>
                </c:pt>
                <c:pt idx="527">
                  <c:v>382</c:v>
                </c:pt>
                <c:pt idx="528">
                  <c:v>383.3</c:v>
                </c:pt>
                <c:pt idx="529">
                  <c:v>383.9</c:v>
                </c:pt>
                <c:pt idx="530">
                  <c:v>383</c:v>
                </c:pt>
                <c:pt idx="531">
                  <c:v>384.15</c:v>
                </c:pt>
                <c:pt idx="532">
                  <c:v>387.4</c:v>
                </c:pt>
                <c:pt idx="533">
                  <c:v>385.25</c:v>
                </c:pt>
                <c:pt idx="534">
                  <c:v>382.2</c:v>
                </c:pt>
                <c:pt idx="535">
                  <c:v>376.5</c:v>
                </c:pt>
                <c:pt idx="536">
                  <c:v>378.6</c:v>
                </c:pt>
                <c:pt idx="537">
                  <c:v>375.85</c:v>
                </c:pt>
                <c:pt idx="538">
                  <c:v>385.3</c:v>
                </c:pt>
                <c:pt idx="539">
                  <c:v>388.5</c:v>
                </c:pt>
                <c:pt idx="540">
                  <c:v>392</c:v>
                </c:pt>
                <c:pt idx="541">
                  <c:v>387</c:v>
                </c:pt>
                <c:pt idx="542">
                  <c:v>388.2</c:v>
                </c:pt>
                <c:pt idx="543">
                  <c:v>386.05</c:v>
                </c:pt>
                <c:pt idx="544">
                  <c:v>380.25</c:v>
                </c:pt>
                <c:pt idx="545">
                  <c:v>379.15</c:v>
                </c:pt>
                <c:pt idx="546">
                  <c:v>381.5</c:v>
                </c:pt>
                <c:pt idx="547">
                  <c:v>376.45</c:v>
                </c:pt>
                <c:pt idx="548">
                  <c:v>378.75</c:v>
                </c:pt>
                <c:pt idx="549">
                  <c:v>377</c:v>
                </c:pt>
                <c:pt idx="550">
                  <c:v>378.25</c:v>
                </c:pt>
                <c:pt idx="551">
                  <c:v>380.2</c:v>
                </c:pt>
                <c:pt idx="552">
                  <c:v>378.9</c:v>
                </c:pt>
                <c:pt idx="553">
                  <c:v>380</c:v>
                </c:pt>
                <c:pt idx="554">
                  <c:v>379.75</c:v>
                </c:pt>
                <c:pt idx="555">
                  <c:v>383.05</c:v>
                </c:pt>
                <c:pt idx="556">
                  <c:v>383.2</c:v>
                </c:pt>
                <c:pt idx="557">
                  <c:v>379.2</c:v>
                </c:pt>
                <c:pt idx="558">
                  <c:v>387</c:v>
                </c:pt>
                <c:pt idx="559">
                  <c:v>387.5</c:v>
                </c:pt>
                <c:pt idx="560">
                  <c:v>388</c:v>
                </c:pt>
                <c:pt idx="561">
                  <c:v>396</c:v>
                </c:pt>
                <c:pt idx="562">
                  <c:v>393.95</c:v>
                </c:pt>
                <c:pt idx="563">
                  <c:v>395.7</c:v>
                </c:pt>
                <c:pt idx="564">
                  <c:v>399.9</c:v>
                </c:pt>
                <c:pt idx="565">
                  <c:v>398.5</c:v>
                </c:pt>
                <c:pt idx="566">
                  <c:v>398.2</c:v>
                </c:pt>
                <c:pt idx="567">
                  <c:v>400.3</c:v>
                </c:pt>
                <c:pt idx="568">
                  <c:v>408</c:v>
                </c:pt>
                <c:pt idx="569">
                  <c:v>408.3</c:v>
                </c:pt>
                <c:pt idx="570">
                  <c:v>411.25</c:v>
                </c:pt>
                <c:pt idx="571">
                  <c:v>411.75</c:v>
                </c:pt>
                <c:pt idx="572">
                  <c:v>416</c:v>
                </c:pt>
                <c:pt idx="573">
                  <c:v>426.2</c:v>
                </c:pt>
                <c:pt idx="574">
                  <c:v>424.8</c:v>
                </c:pt>
                <c:pt idx="575">
                  <c:v>426.95</c:v>
                </c:pt>
                <c:pt idx="576">
                  <c:v>424.15</c:v>
                </c:pt>
                <c:pt idx="577">
                  <c:v>429.3</c:v>
                </c:pt>
                <c:pt idx="578">
                  <c:v>432.1</c:v>
                </c:pt>
                <c:pt idx="579">
                  <c:v>424.1</c:v>
                </c:pt>
                <c:pt idx="580">
                  <c:v>424.6</c:v>
                </c:pt>
                <c:pt idx="581">
                  <c:v>421.25</c:v>
                </c:pt>
                <c:pt idx="582">
                  <c:v>420.15</c:v>
                </c:pt>
                <c:pt idx="583">
                  <c:v>428.4</c:v>
                </c:pt>
                <c:pt idx="584">
                  <c:v>424.45</c:v>
                </c:pt>
                <c:pt idx="585">
                  <c:v>428.05</c:v>
                </c:pt>
                <c:pt idx="586">
                  <c:v>418.85</c:v>
                </c:pt>
                <c:pt idx="587">
                  <c:v>420.1</c:v>
                </c:pt>
                <c:pt idx="588">
                  <c:v>425.1</c:v>
                </c:pt>
                <c:pt idx="589">
                  <c:v>429.4</c:v>
                </c:pt>
                <c:pt idx="590">
                  <c:v>434</c:v>
                </c:pt>
                <c:pt idx="591">
                  <c:v>441.75</c:v>
                </c:pt>
                <c:pt idx="592">
                  <c:v>443.95</c:v>
                </c:pt>
                <c:pt idx="593">
                  <c:v>448.95</c:v>
                </c:pt>
                <c:pt idx="594">
                  <c:v>449.95</c:v>
                </c:pt>
                <c:pt idx="595">
                  <c:v>446</c:v>
                </c:pt>
                <c:pt idx="596">
                  <c:v>440.1</c:v>
                </c:pt>
                <c:pt idx="597">
                  <c:v>442.95</c:v>
                </c:pt>
                <c:pt idx="598">
                  <c:v>441.3</c:v>
                </c:pt>
                <c:pt idx="599">
                  <c:v>443.45</c:v>
                </c:pt>
                <c:pt idx="600">
                  <c:v>444.1</c:v>
                </c:pt>
                <c:pt idx="601">
                  <c:v>443.1</c:v>
                </c:pt>
                <c:pt idx="602">
                  <c:v>438.95</c:v>
                </c:pt>
                <c:pt idx="603">
                  <c:v>437.5</c:v>
                </c:pt>
                <c:pt idx="604">
                  <c:v>445.9</c:v>
                </c:pt>
                <c:pt idx="605">
                  <c:v>444.85</c:v>
                </c:pt>
                <c:pt idx="606">
                  <c:v>448</c:v>
                </c:pt>
                <c:pt idx="607">
                  <c:v>453.5</c:v>
                </c:pt>
                <c:pt idx="608">
                  <c:v>453.75</c:v>
                </c:pt>
                <c:pt idx="609">
                  <c:v>453.2</c:v>
                </c:pt>
                <c:pt idx="610">
                  <c:v>448</c:v>
                </c:pt>
                <c:pt idx="611">
                  <c:v>447.75</c:v>
                </c:pt>
                <c:pt idx="612">
                  <c:v>445.1</c:v>
                </c:pt>
                <c:pt idx="613">
                  <c:v>445.3</c:v>
                </c:pt>
                <c:pt idx="614">
                  <c:v>445.45</c:v>
                </c:pt>
                <c:pt idx="615">
                  <c:v>449</c:v>
                </c:pt>
                <c:pt idx="616">
                  <c:v>451.5</c:v>
                </c:pt>
                <c:pt idx="617">
                  <c:v>465.9</c:v>
                </c:pt>
                <c:pt idx="618">
                  <c:v>465.7</c:v>
                </c:pt>
                <c:pt idx="619">
                  <c:v>475.05</c:v>
                </c:pt>
                <c:pt idx="620">
                  <c:v>474.5</c:v>
                </c:pt>
                <c:pt idx="621">
                  <c:v>469.5</c:v>
                </c:pt>
                <c:pt idx="622">
                  <c:v>467</c:v>
                </c:pt>
                <c:pt idx="623">
                  <c:v>473.45</c:v>
                </c:pt>
                <c:pt idx="624">
                  <c:v>471.95</c:v>
                </c:pt>
                <c:pt idx="625">
                  <c:v>472.35</c:v>
                </c:pt>
                <c:pt idx="626">
                  <c:v>473.55</c:v>
                </c:pt>
                <c:pt idx="627">
                  <c:v>472.4</c:v>
                </c:pt>
                <c:pt idx="628">
                  <c:v>472.65</c:v>
                </c:pt>
                <c:pt idx="629">
                  <c:v>479.15</c:v>
                </c:pt>
                <c:pt idx="630">
                  <c:v>491.5</c:v>
                </c:pt>
                <c:pt idx="631">
                  <c:v>493.45</c:v>
                </c:pt>
                <c:pt idx="632">
                  <c:v>469.35</c:v>
                </c:pt>
                <c:pt idx="633">
                  <c:v>461.35</c:v>
                </c:pt>
                <c:pt idx="634">
                  <c:v>472.4</c:v>
                </c:pt>
                <c:pt idx="635">
                  <c:v>467.15</c:v>
                </c:pt>
                <c:pt idx="636">
                  <c:v>467.65</c:v>
                </c:pt>
                <c:pt idx="637">
                  <c:v>465.25</c:v>
                </c:pt>
                <c:pt idx="638">
                  <c:v>465.5</c:v>
                </c:pt>
                <c:pt idx="639">
                  <c:v>460</c:v>
                </c:pt>
                <c:pt idx="640">
                  <c:v>456.3</c:v>
                </c:pt>
                <c:pt idx="641">
                  <c:v>455.25</c:v>
                </c:pt>
                <c:pt idx="642">
                  <c:v>454.95</c:v>
                </c:pt>
                <c:pt idx="643">
                  <c:v>452.3</c:v>
                </c:pt>
                <c:pt idx="644">
                  <c:v>459</c:v>
                </c:pt>
                <c:pt idx="645">
                  <c:v>452.95</c:v>
                </c:pt>
                <c:pt idx="646">
                  <c:v>448</c:v>
                </c:pt>
                <c:pt idx="647">
                  <c:v>447.8</c:v>
                </c:pt>
                <c:pt idx="648">
                  <c:v>449</c:v>
                </c:pt>
                <c:pt idx="649">
                  <c:v>440.95</c:v>
                </c:pt>
                <c:pt idx="650">
                  <c:v>441</c:v>
                </c:pt>
                <c:pt idx="651">
                  <c:v>448</c:v>
                </c:pt>
                <c:pt idx="652">
                  <c:v>454.4</c:v>
                </c:pt>
                <c:pt idx="653">
                  <c:v>450.6</c:v>
                </c:pt>
                <c:pt idx="654">
                  <c:v>451.2</c:v>
                </c:pt>
                <c:pt idx="655">
                  <c:v>443.5</c:v>
                </c:pt>
                <c:pt idx="656">
                  <c:v>441</c:v>
                </c:pt>
                <c:pt idx="657">
                  <c:v>440.7</c:v>
                </c:pt>
                <c:pt idx="658">
                  <c:v>443.1</c:v>
                </c:pt>
                <c:pt idx="659">
                  <c:v>439.5</c:v>
                </c:pt>
                <c:pt idx="660">
                  <c:v>440</c:v>
                </c:pt>
                <c:pt idx="661">
                  <c:v>437.5</c:v>
                </c:pt>
                <c:pt idx="662">
                  <c:v>444.15</c:v>
                </c:pt>
                <c:pt idx="663">
                  <c:v>448</c:v>
                </c:pt>
                <c:pt idx="664">
                  <c:v>446</c:v>
                </c:pt>
                <c:pt idx="665">
                  <c:v>442.7</c:v>
                </c:pt>
                <c:pt idx="666">
                  <c:v>447.95</c:v>
                </c:pt>
                <c:pt idx="667">
                  <c:v>451</c:v>
                </c:pt>
                <c:pt idx="668">
                  <c:v>453.3</c:v>
                </c:pt>
                <c:pt idx="669">
                  <c:v>450.35</c:v>
                </c:pt>
                <c:pt idx="670">
                  <c:v>447.9</c:v>
                </c:pt>
                <c:pt idx="671">
                  <c:v>451.95</c:v>
                </c:pt>
                <c:pt idx="672">
                  <c:v>452.85</c:v>
                </c:pt>
                <c:pt idx="673">
                  <c:v>447.5</c:v>
                </c:pt>
                <c:pt idx="674">
                  <c:v>442.5</c:v>
                </c:pt>
                <c:pt idx="675">
                  <c:v>443.1</c:v>
                </c:pt>
                <c:pt idx="676">
                  <c:v>442.8</c:v>
                </c:pt>
                <c:pt idx="677">
                  <c:v>449.35</c:v>
                </c:pt>
                <c:pt idx="678">
                  <c:v>441.15</c:v>
                </c:pt>
                <c:pt idx="679">
                  <c:v>443.5</c:v>
                </c:pt>
                <c:pt idx="680">
                  <c:v>439.65</c:v>
                </c:pt>
                <c:pt idx="681">
                  <c:v>435.35</c:v>
                </c:pt>
                <c:pt idx="682">
                  <c:v>436.6</c:v>
                </c:pt>
                <c:pt idx="683">
                  <c:v>442.6</c:v>
                </c:pt>
                <c:pt idx="684">
                  <c:v>439.65</c:v>
                </c:pt>
                <c:pt idx="685">
                  <c:v>444.7</c:v>
                </c:pt>
                <c:pt idx="686">
                  <c:v>447.5</c:v>
                </c:pt>
                <c:pt idx="687">
                  <c:v>451</c:v>
                </c:pt>
                <c:pt idx="688">
                  <c:v>448</c:v>
                </c:pt>
                <c:pt idx="689">
                  <c:v>448.2</c:v>
                </c:pt>
                <c:pt idx="690">
                  <c:v>453.5</c:v>
                </c:pt>
                <c:pt idx="691">
                  <c:v>451.7</c:v>
                </c:pt>
                <c:pt idx="692">
                  <c:v>450.05</c:v>
                </c:pt>
                <c:pt idx="693">
                  <c:v>438</c:v>
                </c:pt>
                <c:pt idx="694">
                  <c:v>434.6</c:v>
                </c:pt>
                <c:pt idx="695">
                  <c:v>432.3</c:v>
                </c:pt>
                <c:pt idx="696">
                  <c:v>432.65</c:v>
                </c:pt>
                <c:pt idx="697">
                  <c:v>433.9</c:v>
                </c:pt>
                <c:pt idx="698">
                  <c:v>431.5</c:v>
                </c:pt>
                <c:pt idx="699">
                  <c:v>428.45</c:v>
                </c:pt>
                <c:pt idx="700">
                  <c:v>430.35</c:v>
                </c:pt>
                <c:pt idx="701">
                  <c:v>430.8</c:v>
                </c:pt>
                <c:pt idx="702">
                  <c:v>432.1</c:v>
                </c:pt>
                <c:pt idx="703">
                  <c:v>434.9</c:v>
                </c:pt>
                <c:pt idx="704">
                  <c:v>432.95</c:v>
                </c:pt>
                <c:pt idx="705">
                  <c:v>437</c:v>
                </c:pt>
                <c:pt idx="706">
                  <c:v>434.45</c:v>
                </c:pt>
                <c:pt idx="707">
                  <c:v>437.95</c:v>
                </c:pt>
                <c:pt idx="708">
                  <c:v>438.75</c:v>
                </c:pt>
                <c:pt idx="709">
                  <c:v>435.95</c:v>
                </c:pt>
                <c:pt idx="710">
                  <c:v>442</c:v>
                </c:pt>
                <c:pt idx="711">
                  <c:v>439.2</c:v>
                </c:pt>
                <c:pt idx="712">
                  <c:v>438.85</c:v>
                </c:pt>
                <c:pt idx="713">
                  <c:v>436.3</c:v>
                </c:pt>
                <c:pt idx="714">
                  <c:v>436.2</c:v>
                </c:pt>
                <c:pt idx="715">
                  <c:v>440.15</c:v>
                </c:pt>
                <c:pt idx="716">
                  <c:v>440.9</c:v>
                </c:pt>
                <c:pt idx="717">
                  <c:v>437.9</c:v>
                </c:pt>
                <c:pt idx="718">
                  <c:v>435.9</c:v>
                </c:pt>
                <c:pt idx="719">
                  <c:v>436.9</c:v>
                </c:pt>
                <c:pt idx="720">
                  <c:v>436.75</c:v>
                </c:pt>
                <c:pt idx="721">
                  <c:v>449.15</c:v>
                </c:pt>
                <c:pt idx="722">
                  <c:v>453.1</c:v>
                </c:pt>
                <c:pt idx="723">
                  <c:v>452.4</c:v>
                </c:pt>
                <c:pt idx="724">
                  <c:v>463.45</c:v>
                </c:pt>
                <c:pt idx="725">
                  <c:v>458.2</c:v>
                </c:pt>
                <c:pt idx="726">
                  <c:v>450</c:v>
                </c:pt>
                <c:pt idx="727">
                  <c:v>453.2</c:v>
                </c:pt>
                <c:pt idx="728">
                  <c:v>453.6</c:v>
                </c:pt>
                <c:pt idx="729">
                  <c:v>455.6</c:v>
                </c:pt>
                <c:pt idx="730">
                  <c:v>458.3</c:v>
                </c:pt>
                <c:pt idx="731">
                  <c:v>458.55</c:v>
                </c:pt>
                <c:pt idx="732">
                  <c:v>451.95</c:v>
                </c:pt>
                <c:pt idx="733">
                  <c:v>456.45</c:v>
                </c:pt>
                <c:pt idx="734">
                  <c:v>450.15</c:v>
                </c:pt>
                <c:pt idx="735">
                  <c:v>452</c:v>
                </c:pt>
                <c:pt idx="736">
                  <c:v>454.2</c:v>
                </c:pt>
                <c:pt idx="737">
                  <c:v>457.05</c:v>
                </c:pt>
                <c:pt idx="738">
                  <c:v>456.6</c:v>
                </c:pt>
                <c:pt idx="739">
                  <c:v>463.95</c:v>
                </c:pt>
                <c:pt idx="740">
                  <c:v>462</c:v>
                </c:pt>
                <c:pt idx="741">
                  <c:v>465.8</c:v>
                </c:pt>
                <c:pt idx="742">
                  <c:v>470.15</c:v>
                </c:pt>
                <c:pt idx="743">
                  <c:v>477.45</c:v>
                </c:pt>
                <c:pt idx="744">
                  <c:v>475.5</c:v>
                </c:pt>
                <c:pt idx="745">
                  <c:v>473.8</c:v>
                </c:pt>
                <c:pt idx="746">
                  <c:v>465.35</c:v>
                </c:pt>
                <c:pt idx="747">
                  <c:v>464.2</c:v>
                </c:pt>
                <c:pt idx="748">
                  <c:v>463.5</c:v>
                </c:pt>
                <c:pt idx="749">
                  <c:v>463.25</c:v>
                </c:pt>
                <c:pt idx="750">
                  <c:v>467.4</c:v>
                </c:pt>
                <c:pt idx="751">
                  <c:v>467.55</c:v>
                </c:pt>
                <c:pt idx="752">
                  <c:v>475</c:v>
                </c:pt>
                <c:pt idx="753">
                  <c:v>467.3</c:v>
                </c:pt>
                <c:pt idx="754">
                  <c:v>466.45</c:v>
                </c:pt>
                <c:pt idx="755">
                  <c:v>472</c:v>
                </c:pt>
                <c:pt idx="756">
                  <c:v>468.3</c:v>
                </c:pt>
                <c:pt idx="757">
                  <c:v>459.85</c:v>
                </c:pt>
                <c:pt idx="758">
                  <c:v>461.8</c:v>
                </c:pt>
                <c:pt idx="759">
                  <c:v>457.5</c:v>
                </c:pt>
                <c:pt idx="760">
                  <c:v>448.7</c:v>
                </c:pt>
                <c:pt idx="761">
                  <c:v>438.25</c:v>
                </c:pt>
                <c:pt idx="762">
                  <c:v>441.75</c:v>
                </c:pt>
                <c:pt idx="763">
                  <c:v>442.4</c:v>
                </c:pt>
                <c:pt idx="764">
                  <c:v>440.6</c:v>
                </c:pt>
                <c:pt idx="765">
                  <c:v>438.15</c:v>
                </c:pt>
                <c:pt idx="766">
                  <c:v>431.9</c:v>
                </c:pt>
                <c:pt idx="767">
                  <c:v>431.8</c:v>
                </c:pt>
                <c:pt idx="768">
                  <c:v>414.45</c:v>
                </c:pt>
                <c:pt idx="769">
                  <c:v>415</c:v>
                </c:pt>
                <c:pt idx="770">
                  <c:v>406.8</c:v>
                </c:pt>
                <c:pt idx="771">
                  <c:v>406.9</c:v>
                </c:pt>
                <c:pt idx="772">
                  <c:v>412.15</c:v>
                </c:pt>
                <c:pt idx="773">
                  <c:v>404.75</c:v>
                </c:pt>
                <c:pt idx="774">
                  <c:v>404.6</c:v>
                </c:pt>
                <c:pt idx="775">
                  <c:v>409.2</c:v>
                </c:pt>
                <c:pt idx="776">
                  <c:v>406.9</c:v>
                </c:pt>
                <c:pt idx="777">
                  <c:v>402.75</c:v>
                </c:pt>
                <c:pt idx="778">
                  <c:v>415</c:v>
                </c:pt>
                <c:pt idx="779">
                  <c:v>410.9</c:v>
                </c:pt>
                <c:pt idx="780">
                  <c:v>409.15</c:v>
                </c:pt>
                <c:pt idx="781">
                  <c:v>410.7</c:v>
                </c:pt>
                <c:pt idx="782">
                  <c:v>407.85</c:v>
                </c:pt>
                <c:pt idx="783">
                  <c:v>406.9</c:v>
                </c:pt>
                <c:pt idx="784">
                  <c:v>410.1</c:v>
                </c:pt>
                <c:pt idx="785">
                  <c:v>412</c:v>
                </c:pt>
                <c:pt idx="786">
                  <c:v>409.3</c:v>
                </c:pt>
                <c:pt idx="787">
                  <c:v>406.5</c:v>
                </c:pt>
                <c:pt idx="788">
                  <c:v>407.95</c:v>
                </c:pt>
                <c:pt idx="789">
                  <c:v>414.7</c:v>
                </c:pt>
                <c:pt idx="790">
                  <c:v>409.2</c:v>
                </c:pt>
                <c:pt idx="791">
                  <c:v>401.9</c:v>
                </c:pt>
                <c:pt idx="792">
                  <c:v>422</c:v>
                </c:pt>
                <c:pt idx="793">
                  <c:v>419</c:v>
                </c:pt>
                <c:pt idx="794">
                  <c:v>417</c:v>
                </c:pt>
                <c:pt idx="795">
                  <c:v>417.6</c:v>
                </c:pt>
                <c:pt idx="796">
                  <c:v>409.75</c:v>
                </c:pt>
                <c:pt idx="797">
                  <c:v>416</c:v>
                </c:pt>
                <c:pt idx="798">
                  <c:v>421.25</c:v>
                </c:pt>
                <c:pt idx="799">
                  <c:v>428.3</c:v>
                </c:pt>
                <c:pt idx="800">
                  <c:v>428</c:v>
                </c:pt>
                <c:pt idx="801">
                  <c:v>428.4</c:v>
                </c:pt>
                <c:pt idx="802">
                  <c:v>429</c:v>
                </c:pt>
                <c:pt idx="803">
                  <c:v>427.6</c:v>
                </c:pt>
                <c:pt idx="804">
                  <c:v>425.5</c:v>
                </c:pt>
                <c:pt idx="805">
                  <c:v>425.5</c:v>
                </c:pt>
                <c:pt idx="806">
                  <c:v>423.1</c:v>
                </c:pt>
                <c:pt idx="807">
                  <c:v>427.5</c:v>
                </c:pt>
                <c:pt idx="808">
                  <c:v>428.9</c:v>
                </c:pt>
                <c:pt idx="809">
                  <c:v>426.6</c:v>
                </c:pt>
                <c:pt idx="810">
                  <c:v>436</c:v>
                </c:pt>
                <c:pt idx="811">
                  <c:v>430.5</c:v>
                </c:pt>
                <c:pt idx="812">
                  <c:v>425.6</c:v>
                </c:pt>
                <c:pt idx="813">
                  <c:v>426.45</c:v>
                </c:pt>
                <c:pt idx="814">
                  <c:v>419.75</c:v>
                </c:pt>
                <c:pt idx="815">
                  <c:v>424</c:v>
                </c:pt>
                <c:pt idx="816">
                  <c:v>425.8</c:v>
                </c:pt>
                <c:pt idx="817">
                  <c:v>428.7</c:v>
                </c:pt>
                <c:pt idx="818">
                  <c:v>429.4</c:v>
                </c:pt>
                <c:pt idx="819">
                  <c:v>437.8</c:v>
                </c:pt>
                <c:pt idx="820">
                  <c:v>440</c:v>
                </c:pt>
                <c:pt idx="821">
                  <c:v>438</c:v>
                </c:pt>
                <c:pt idx="822">
                  <c:v>435.35</c:v>
                </c:pt>
                <c:pt idx="823">
                  <c:v>439.45</c:v>
                </c:pt>
                <c:pt idx="824">
                  <c:v>436</c:v>
                </c:pt>
                <c:pt idx="825">
                  <c:v>434.95</c:v>
                </c:pt>
                <c:pt idx="826">
                  <c:v>441</c:v>
                </c:pt>
                <c:pt idx="827">
                  <c:v>441</c:v>
                </c:pt>
                <c:pt idx="828">
                  <c:v>427.1</c:v>
                </c:pt>
                <c:pt idx="829">
                  <c:v>433.85</c:v>
                </c:pt>
                <c:pt idx="830">
                  <c:v>431.65</c:v>
                </c:pt>
                <c:pt idx="831">
                  <c:v>429.6</c:v>
                </c:pt>
                <c:pt idx="832">
                  <c:v>428.25</c:v>
                </c:pt>
                <c:pt idx="833">
                  <c:v>432.6</c:v>
                </c:pt>
                <c:pt idx="834">
                  <c:v>435.45</c:v>
                </c:pt>
                <c:pt idx="835">
                  <c:v>436.7</c:v>
                </c:pt>
                <c:pt idx="836">
                  <c:v>434.9</c:v>
                </c:pt>
                <c:pt idx="837">
                  <c:v>440</c:v>
                </c:pt>
                <c:pt idx="838">
                  <c:v>440.2</c:v>
                </c:pt>
                <c:pt idx="839">
                  <c:v>436.55</c:v>
                </c:pt>
                <c:pt idx="840">
                  <c:v>432.25</c:v>
                </c:pt>
                <c:pt idx="841">
                  <c:v>428.8</c:v>
                </c:pt>
                <c:pt idx="842">
                  <c:v>431</c:v>
                </c:pt>
                <c:pt idx="843">
                  <c:v>424.85</c:v>
                </c:pt>
                <c:pt idx="844">
                  <c:v>427</c:v>
                </c:pt>
                <c:pt idx="845">
                  <c:v>431.4</c:v>
                </c:pt>
                <c:pt idx="846">
                  <c:v>419.85</c:v>
                </c:pt>
                <c:pt idx="847">
                  <c:v>430.7</c:v>
                </c:pt>
                <c:pt idx="848">
                  <c:v>436.4</c:v>
                </c:pt>
                <c:pt idx="849">
                  <c:v>438.5</c:v>
                </c:pt>
                <c:pt idx="850">
                  <c:v>436.55</c:v>
                </c:pt>
                <c:pt idx="851">
                  <c:v>432.75</c:v>
                </c:pt>
                <c:pt idx="852">
                  <c:v>432.6</c:v>
                </c:pt>
                <c:pt idx="853">
                  <c:v>430.35</c:v>
                </c:pt>
                <c:pt idx="854">
                  <c:v>431.4</c:v>
                </c:pt>
                <c:pt idx="855">
                  <c:v>429</c:v>
                </c:pt>
                <c:pt idx="856">
                  <c:v>423.4</c:v>
                </c:pt>
                <c:pt idx="857">
                  <c:v>423.85</c:v>
                </c:pt>
                <c:pt idx="858">
                  <c:v>419.7</c:v>
                </c:pt>
                <c:pt idx="859">
                  <c:v>423.65</c:v>
                </c:pt>
                <c:pt idx="860">
                  <c:v>423.25</c:v>
                </c:pt>
                <c:pt idx="861">
                  <c:v>423.5</c:v>
                </c:pt>
                <c:pt idx="862">
                  <c:v>425.6</c:v>
                </c:pt>
                <c:pt idx="863">
                  <c:v>425</c:v>
                </c:pt>
                <c:pt idx="864">
                  <c:v>428.5</c:v>
                </c:pt>
                <c:pt idx="865">
                  <c:v>425.75</c:v>
                </c:pt>
                <c:pt idx="866">
                  <c:v>428.5</c:v>
                </c:pt>
                <c:pt idx="867">
                  <c:v>429.25</c:v>
                </c:pt>
                <c:pt idx="868">
                  <c:v>433.5</c:v>
                </c:pt>
                <c:pt idx="869">
                  <c:v>443.8</c:v>
                </c:pt>
                <c:pt idx="870">
                  <c:v>451.5</c:v>
                </c:pt>
                <c:pt idx="871">
                  <c:v>450.3</c:v>
                </c:pt>
                <c:pt idx="872">
                  <c:v>458.6</c:v>
                </c:pt>
                <c:pt idx="873">
                  <c:v>459.05</c:v>
                </c:pt>
                <c:pt idx="874">
                  <c:v>462.05</c:v>
                </c:pt>
                <c:pt idx="875">
                  <c:v>465.7</c:v>
                </c:pt>
                <c:pt idx="876">
                  <c:v>470.5</c:v>
                </c:pt>
                <c:pt idx="877">
                  <c:v>473.15</c:v>
                </c:pt>
                <c:pt idx="878">
                  <c:v>466.3</c:v>
                </c:pt>
                <c:pt idx="879">
                  <c:v>496.95</c:v>
                </c:pt>
                <c:pt idx="880">
                  <c:v>494</c:v>
                </c:pt>
                <c:pt idx="881">
                  <c:v>490.2</c:v>
                </c:pt>
                <c:pt idx="882">
                  <c:v>501.55</c:v>
                </c:pt>
                <c:pt idx="883">
                  <c:v>496.25</c:v>
                </c:pt>
                <c:pt idx="884">
                  <c:v>490.5</c:v>
                </c:pt>
                <c:pt idx="885">
                  <c:v>495.5</c:v>
                </c:pt>
                <c:pt idx="886">
                  <c:v>493.05</c:v>
                </c:pt>
                <c:pt idx="887">
                  <c:v>488.85</c:v>
                </c:pt>
                <c:pt idx="888">
                  <c:v>485.9</c:v>
                </c:pt>
                <c:pt idx="889">
                  <c:v>487.8</c:v>
                </c:pt>
                <c:pt idx="890">
                  <c:v>492.75</c:v>
                </c:pt>
                <c:pt idx="891">
                  <c:v>494.15</c:v>
                </c:pt>
                <c:pt idx="892">
                  <c:v>496.15</c:v>
                </c:pt>
                <c:pt idx="893">
                  <c:v>494.4</c:v>
                </c:pt>
                <c:pt idx="894">
                  <c:v>491.5</c:v>
                </c:pt>
                <c:pt idx="895">
                  <c:v>492.55</c:v>
                </c:pt>
                <c:pt idx="896">
                  <c:v>502.05</c:v>
                </c:pt>
                <c:pt idx="897">
                  <c:v>499.95</c:v>
                </c:pt>
                <c:pt idx="898">
                  <c:v>498.5</c:v>
                </c:pt>
                <c:pt idx="899">
                  <c:v>505.8</c:v>
                </c:pt>
                <c:pt idx="900">
                  <c:v>505.05</c:v>
                </c:pt>
                <c:pt idx="901">
                  <c:v>505.4</c:v>
                </c:pt>
                <c:pt idx="902">
                  <c:v>505.7</c:v>
                </c:pt>
                <c:pt idx="903">
                  <c:v>500.4</c:v>
                </c:pt>
                <c:pt idx="904">
                  <c:v>500.15</c:v>
                </c:pt>
                <c:pt idx="905">
                  <c:v>505</c:v>
                </c:pt>
                <c:pt idx="906">
                  <c:v>504</c:v>
                </c:pt>
                <c:pt idx="907">
                  <c:v>509.85</c:v>
                </c:pt>
                <c:pt idx="908">
                  <c:v>508.6</c:v>
                </c:pt>
                <c:pt idx="909">
                  <c:v>507.45</c:v>
                </c:pt>
                <c:pt idx="910">
                  <c:v>511.25</c:v>
                </c:pt>
                <c:pt idx="911">
                  <c:v>502.45</c:v>
                </c:pt>
                <c:pt idx="912">
                  <c:v>511.5</c:v>
                </c:pt>
                <c:pt idx="913">
                  <c:v>512.9</c:v>
                </c:pt>
                <c:pt idx="914">
                  <c:v>513.1</c:v>
                </c:pt>
                <c:pt idx="915">
                  <c:v>518.04999999999995</c:v>
                </c:pt>
                <c:pt idx="916">
                  <c:v>513.65</c:v>
                </c:pt>
                <c:pt idx="917">
                  <c:v>509.95</c:v>
                </c:pt>
                <c:pt idx="918">
                  <c:v>508.25</c:v>
                </c:pt>
                <c:pt idx="919">
                  <c:v>506.75</c:v>
                </c:pt>
                <c:pt idx="920">
                  <c:v>508.6</c:v>
                </c:pt>
                <c:pt idx="921">
                  <c:v>514.15</c:v>
                </c:pt>
                <c:pt idx="922">
                  <c:v>516.75</c:v>
                </c:pt>
                <c:pt idx="923">
                  <c:v>515.5</c:v>
                </c:pt>
                <c:pt idx="924">
                  <c:v>517.65</c:v>
                </c:pt>
                <c:pt idx="925">
                  <c:v>522.25</c:v>
                </c:pt>
                <c:pt idx="926">
                  <c:v>521.70000000000005</c:v>
                </c:pt>
                <c:pt idx="927">
                  <c:v>518.25</c:v>
                </c:pt>
                <c:pt idx="928">
                  <c:v>516.5</c:v>
                </c:pt>
                <c:pt idx="929">
                  <c:v>511.75</c:v>
                </c:pt>
                <c:pt idx="930">
                  <c:v>504.75</c:v>
                </c:pt>
                <c:pt idx="931">
                  <c:v>510</c:v>
                </c:pt>
                <c:pt idx="932">
                  <c:v>508.5</c:v>
                </c:pt>
                <c:pt idx="933">
                  <c:v>492.5</c:v>
                </c:pt>
                <c:pt idx="934">
                  <c:v>493</c:v>
                </c:pt>
                <c:pt idx="935">
                  <c:v>488.95</c:v>
                </c:pt>
                <c:pt idx="936">
                  <c:v>496.75</c:v>
                </c:pt>
                <c:pt idx="937">
                  <c:v>498</c:v>
                </c:pt>
                <c:pt idx="938">
                  <c:v>493.1</c:v>
                </c:pt>
                <c:pt idx="939">
                  <c:v>489</c:v>
                </c:pt>
                <c:pt idx="940">
                  <c:v>486.15</c:v>
                </c:pt>
                <c:pt idx="941">
                  <c:v>483.1</c:v>
                </c:pt>
                <c:pt idx="942">
                  <c:v>482.5</c:v>
                </c:pt>
                <c:pt idx="943">
                  <c:v>480.7</c:v>
                </c:pt>
                <c:pt idx="944">
                  <c:v>470.7</c:v>
                </c:pt>
                <c:pt idx="945">
                  <c:v>482.25</c:v>
                </c:pt>
                <c:pt idx="946">
                  <c:v>484</c:v>
                </c:pt>
                <c:pt idx="947">
                  <c:v>488</c:v>
                </c:pt>
                <c:pt idx="948">
                  <c:v>491.8</c:v>
                </c:pt>
                <c:pt idx="949">
                  <c:v>489.25</c:v>
                </c:pt>
                <c:pt idx="950">
                  <c:v>489.95</c:v>
                </c:pt>
                <c:pt idx="951">
                  <c:v>485.25</c:v>
                </c:pt>
                <c:pt idx="952">
                  <c:v>480.95</c:v>
                </c:pt>
                <c:pt idx="953">
                  <c:v>481.95</c:v>
                </c:pt>
                <c:pt idx="954">
                  <c:v>478</c:v>
                </c:pt>
                <c:pt idx="955">
                  <c:v>478.8</c:v>
                </c:pt>
                <c:pt idx="956">
                  <c:v>477.3</c:v>
                </c:pt>
                <c:pt idx="957">
                  <c:v>471.9</c:v>
                </c:pt>
                <c:pt idx="958">
                  <c:v>472</c:v>
                </c:pt>
                <c:pt idx="959">
                  <c:v>467</c:v>
                </c:pt>
                <c:pt idx="960">
                  <c:v>467.4</c:v>
                </c:pt>
                <c:pt idx="961">
                  <c:v>466.6</c:v>
                </c:pt>
                <c:pt idx="962">
                  <c:v>457</c:v>
                </c:pt>
                <c:pt idx="963">
                  <c:v>474</c:v>
                </c:pt>
                <c:pt idx="964">
                  <c:v>478.15</c:v>
                </c:pt>
                <c:pt idx="965">
                  <c:v>477</c:v>
                </c:pt>
                <c:pt idx="966">
                  <c:v>476.95</c:v>
                </c:pt>
                <c:pt idx="967">
                  <c:v>475.55</c:v>
                </c:pt>
                <c:pt idx="968">
                  <c:v>477</c:v>
                </c:pt>
                <c:pt idx="969">
                  <c:v>477.4</c:v>
                </c:pt>
                <c:pt idx="970">
                  <c:v>472.55</c:v>
                </c:pt>
                <c:pt idx="971">
                  <c:v>467.2</c:v>
                </c:pt>
                <c:pt idx="972">
                  <c:v>467.7</c:v>
                </c:pt>
                <c:pt idx="973">
                  <c:v>471.95</c:v>
                </c:pt>
                <c:pt idx="974">
                  <c:v>465.2</c:v>
                </c:pt>
                <c:pt idx="975">
                  <c:v>465.35</c:v>
                </c:pt>
                <c:pt idx="976">
                  <c:v>465.25</c:v>
                </c:pt>
                <c:pt idx="977">
                  <c:v>460.85</c:v>
                </c:pt>
                <c:pt idx="978">
                  <c:v>471</c:v>
                </c:pt>
                <c:pt idx="979">
                  <c:v>470</c:v>
                </c:pt>
                <c:pt idx="980">
                  <c:v>470.7</c:v>
                </c:pt>
                <c:pt idx="981">
                  <c:v>471.25</c:v>
                </c:pt>
                <c:pt idx="982">
                  <c:v>466</c:v>
                </c:pt>
                <c:pt idx="983">
                  <c:v>465.65</c:v>
                </c:pt>
                <c:pt idx="984">
                  <c:v>474.5</c:v>
                </c:pt>
                <c:pt idx="985">
                  <c:v>478.25</c:v>
                </c:pt>
                <c:pt idx="986">
                  <c:v>477</c:v>
                </c:pt>
                <c:pt idx="987">
                  <c:v>479.7</c:v>
                </c:pt>
                <c:pt idx="988">
                  <c:v>476.8</c:v>
                </c:pt>
                <c:pt idx="989">
                  <c:v>484.45</c:v>
                </c:pt>
                <c:pt idx="990">
                  <c:v>484.7</c:v>
                </c:pt>
                <c:pt idx="991">
                  <c:v>489.5</c:v>
                </c:pt>
                <c:pt idx="992">
                  <c:v>483.95</c:v>
                </c:pt>
                <c:pt idx="993">
                  <c:v>445.35</c:v>
                </c:pt>
                <c:pt idx="994">
                  <c:v>441.1</c:v>
                </c:pt>
                <c:pt idx="995">
                  <c:v>449.65</c:v>
                </c:pt>
                <c:pt idx="996">
                  <c:v>450.45</c:v>
                </c:pt>
                <c:pt idx="997">
                  <c:v>443.85</c:v>
                </c:pt>
                <c:pt idx="998">
                  <c:v>439</c:v>
                </c:pt>
                <c:pt idx="999">
                  <c:v>436.95</c:v>
                </c:pt>
                <c:pt idx="1000">
                  <c:v>437</c:v>
                </c:pt>
                <c:pt idx="1001">
                  <c:v>432.9</c:v>
                </c:pt>
                <c:pt idx="1002">
                  <c:v>439.65</c:v>
                </c:pt>
                <c:pt idx="1003">
                  <c:v>437.45</c:v>
                </c:pt>
                <c:pt idx="1004">
                  <c:v>437.95</c:v>
                </c:pt>
                <c:pt idx="1005">
                  <c:v>436.75</c:v>
                </c:pt>
                <c:pt idx="1006">
                  <c:v>440.45</c:v>
                </c:pt>
                <c:pt idx="1007">
                  <c:v>441.4</c:v>
                </c:pt>
                <c:pt idx="1008">
                  <c:v>439.9</c:v>
                </c:pt>
                <c:pt idx="1009">
                  <c:v>434.65</c:v>
                </c:pt>
                <c:pt idx="1010">
                  <c:v>433.25</c:v>
                </c:pt>
                <c:pt idx="1011">
                  <c:v>436</c:v>
                </c:pt>
                <c:pt idx="1012">
                  <c:v>447.7</c:v>
                </c:pt>
                <c:pt idx="1013">
                  <c:v>461.55</c:v>
                </c:pt>
                <c:pt idx="1014">
                  <c:v>453.5</c:v>
                </c:pt>
                <c:pt idx="1015">
                  <c:v>454.3</c:v>
                </c:pt>
                <c:pt idx="1016">
                  <c:v>448.5</c:v>
                </c:pt>
                <c:pt idx="1017">
                  <c:v>442.75</c:v>
                </c:pt>
                <c:pt idx="1018">
                  <c:v>430.1</c:v>
                </c:pt>
                <c:pt idx="1019">
                  <c:v>427.7</c:v>
                </c:pt>
                <c:pt idx="1020">
                  <c:v>418.05</c:v>
                </c:pt>
                <c:pt idx="1021">
                  <c:v>411.2</c:v>
                </c:pt>
                <c:pt idx="1022">
                  <c:v>410</c:v>
                </c:pt>
                <c:pt idx="1023">
                  <c:v>410</c:v>
                </c:pt>
                <c:pt idx="1024">
                  <c:v>408.6</c:v>
                </c:pt>
                <c:pt idx="1025">
                  <c:v>404.9</c:v>
                </c:pt>
                <c:pt idx="1026">
                  <c:v>406.2</c:v>
                </c:pt>
                <c:pt idx="1027">
                  <c:v>402</c:v>
                </c:pt>
                <c:pt idx="1028">
                  <c:v>400.7</c:v>
                </c:pt>
                <c:pt idx="1029">
                  <c:v>402</c:v>
                </c:pt>
                <c:pt idx="1030">
                  <c:v>404</c:v>
                </c:pt>
                <c:pt idx="1031">
                  <c:v>401.5</c:v>
                </c:pt>
                <c:pt idx="1032">
                  <c:v>395.9</c:v>
                </c:pt>
                <c:pt idx="1033">
                  <c:v>397</c:v>
                </c:pt>
                <c:pt idx="1034">
                  <c:v>394.45</c:v>
                </c:pt>
                <c:pt idx="1035">
                  <c:v>409.2</c:v>
                </c:pt>
                <c:pt idx="1036">
                  <c:v>406.2</c:v>
                </c:pt>
                <c:pt idx="1037">
                  <c:v>403.75</c:v>
                </c:pt>
                <c:pt idx="1038">
                  <c:v>404.8</c:v>
                </c:pt>
                <c:pt idx="1039">
                  <c:v>406.2</c:v>
                </c:pt>
                <c:pt idx="1040">
                  <c:v>412.55</c:v>
                </c:pt>
                <c:pt idx="1041">
                  <c:v>411.45</c:v>
                </c:pt>
                <c:pt idx="1042">
                  <c:v>407.8</c:v>
                </c:pt>
                <c:pt idx="1043">
                  <c:v>409.5</c:v>
                </c:pt>
                <c:pt idx="1044">
                  <c:v>403.4</c:v>
                </c:pt>
                <c:pt idx="1045">
                  <c:v>403.6</c:v>
                </c:pt>
                <c:pt idx="1046">
                  <c:v>406.5</c:v>
                </c:pt>
                <c:pt idx="1047">
                  <c:v>411</c:v>
                </c:pt>
                <c:pt idx="1048">
                  <c:v>409.2</c:v>
                </c:pt>
                <c:pt idx="1049">
                  <c:v>407.4</c:v>
                </c:pt>
                <c:pt idx="1050">
                  <c:v>409.35</c:v>
                </c:pt>
                <c:pt idx="1051">
                  <c:v>410.25</c:v>
                </c:pt>
                <c:pt idx="1052">
                  <c:v>406.6</c:v>
                </c:pt>
                <c:pt idx="1053">
                  <c:v>408.7</c:v>
                </c:pt>
                <c:pt idx="1054">
                  <c:v>409</c:v>
                </c:pt>
                <c:pt idx="1055">
                  <c:v>409.3</c:v>
                </c:pt>
                <c:pt idx="1056">
                  <c:v>406.75</c:v>
                </c:pt>
                <c:pt idx="1057">
                  <c:v>413.5</c:v>
                </c:pt>
                <c:pt idx="1058">
                  <c:v>416.15</c:v>
                </c:pt>
                <c:pt idx="1059">
                  <c:v>422</c:v>
                </c:pt>
                <c:pt idx="1060">
                  <c:v>420.35</c:v>
                </c:pt>
                <c:pt idx="1061">
                  <c:v>424.9</c:v>
                </c:pt>
                <c:pt idx="1062">
                  <c:v>427</c:v>
                </c:pt>
                <c:pt idx="1063">
                  <c:v>422.95</c:v>
                </c:pt>
                <c:pt idx="1064">
                  <c:v>432.85</c:v>
                </c:pt>
                <c:pt idx="1065">
                  <c:v>430.15</c:v>
                </c:pt>
                <c:pt idx="1066">
                  <c:v>429.85</c:v>
                </c:pt>
                <c:pt idx="1067">
                  <c:v>427.6</c:v>
                </c:pt>
                <c:pt idx="1068">
                  <c:v>428.75</c:v>
                </c:pt>
                <c:pt idx="1069">
                  <c:v>425.35</c:v>
                </c:pt>
                <c:pt idx="1070">
                  <c:v>425</c:v>
                </c:pt>
                <c:pt idx="1071">
                  <c:v>429.3</c:v>
                </c:pt>
                <c:pt idx="1072">
                  <c:v>437.5</c:v>
                </c:pt>
                <c:pt idx="1073">
                  <c:v>433.2</c:v>
                </c:pt>
                <c:pt idx="1074">
                  <c:v>430.15</c:v>
                </c:pt>
                <c:pt idx="1075">
                  <c:v>429.4</c:v>
                </c:pt>
                <c:pt idx="1076">
                  <c:v>424</c:v>
                </c:pt>
                <c:pt idx="1077">
                  <c:v>435.1</c:v>
                </c:pt>
                <c:pt idx="1078">
                  <c:v>427.9</c:v>
                </c:pt>
                <c:pt idx="1079">
                  <c:v>429.05</c:v>
                </c:pt>
                <c:pt idx="1080">
                  <c:v>432</c:v>
                </c:pt>
                <c:pt idx="1081">
                  <c:v>435.6</c:v>
                </c:pt>
                <c:pt idx="1082">
                  <c:v>436.1</c:v>
                </c:pt>
                <c:pt idx="1083">
                  <c:v>435.4</c:v>
                </c:pt>
                <c:pt idx="1084">
                  <c:v>432.4</c:v>
                </c:pt>
                <c:pt idx="1085">
                  <c:v>425.5</c:v>
                </c:pt>
                <c:pt idx="1086">
                  <c:v>436</c:v>
                </c:pt>
                <c:pt idx="1087">
                  <c:v>442.9</c:v>
                </c:pt>
                <c:pt idx="1088">
                  <c:v>434.7</c:v>
                </c:pt>
                <c:pt idx="1089">
                  <c:v>421</c:v>
                </c:pt>
                <c:pt idx="1090">
                  <c:v>419.35</c:v>
                </c:pt>
                <c:pt idx="1091">
                  <c:v>418.75</c:v>
                </c:pt>
                <c:pt idx="1092">
                  <c:v>418.5</c:v>
                </c:pt>
                <c:pt idx="1093">
                  <c:v>417</c:v>
                </c:pt>
                <c:pt idx="1094">
                  <c:v>416.8</c:v>
                </c:pt>
                <c:pt idx="1095">
                  <c:v>419.45</c:v>
                </c:pt>
                <c:pt idx="1096">
                  <c:v>421.05</c:v>
                </c:pt>
                <c:pt idx="1097">
                  <c:v>423</c:v>
                </c:pt>
                <c:pt idx="1098">
                  <c:v>427.65</c:v>
                </c:pt>
                <c:pt idx="1099">
                  <c:v>425.55</c:v>
                </c:pt>
                <c:pt idx="1100">
                  <c:v>420.95</c:v>
                </c:pt>
                <c:pt idx="1101">
                  <c:v>413.95</c:v>
                </c:pt>
                <c:pt idx="1102">
                  <c:v>418.65</c:v>
                </c:pt>
                <c:pt idx="1103">
                  <c:v>417.05</c:v>
                </c:pt>
                <c:pt idx="1104">
                  <c:v>415.6</c:v>
                </c:pt>
                <c:pt idx="1105">
                  <c:v>415.8</c:v>
                </c:pt>
                <c:pt idx="1106">
                  <c:v>417.25</c:v>
                </c:pt>
                <c:pt idx="1107">
                  <c:v>413.4</c:v>
                </c:pt>
                <c:pt idx="1108">
                  <c:v>414.55</c:v>
                </c:pt>
                <c:pt idx="1109">
                  <c:v>416.1</c:v>
                </c:pt>
                <c:pt idx="1110">
                  <c:v>420</c:v>
                </c:pt>
                <c:pt idx="1111">
                  <c:v>420</c:v>
                </c:pt>
                <c:pt idx="1112">
                  <c:v>416.3</c:v>
                </c:pt>
                <c:pt idx="1113">
                  <c:v>415.1</c:v>
                </c:pt>
                <c:pt idx="1114">
                  <c:v>413.2</c:v>
                </c:pt>
                <c:pt idx="1115">
                  <c:v>413.9</c:v>
                </c:pt>
                <c:pt idx="1116">
                  <c:v>412.7</c:v>
                </c:pt>
                <c:pt idx="1117">
                  <c:v>416.5</c:v>
                </c:pt>
                <c:pt idx="1118">
                  <c:v>418</c:v>
                </c:pt>
                <c:pt idx="1119">
                  <c:v>419.1</c:v>
                </c:pt>
                <c:pt idx="1120">
                  <c:v>416.65</c:v>
                </c:pt>
                <c:pt idx="1121">
                  <c:v>416.65</c:v>
                </c:pt>
                <c:pt idx="1122">
                  <c:v>419.35</c:v>
                </c:pt>
                <c:pt idx="1123">
                  <c:v>422.3</c:v>
                </c:pt>
                <c:pt idx="1124">
                  <c:v>424.4</c:v>
                </c:pt>
                <c:pt idx="1125">
                  <c:v>423.25</c:v>
                </c:pt>
                <c:pt idx="1126">
                  <c:v>422</c:v>
                </c:pt>
                <c:pt idx="1127">
                  <c:v>420.3</c:v>
                </c:pt>
                <c:pt idx="1128">
                  <c:v>415.95</c:v>
                </c:pt>
                <c:pt idx="1129">
                  <c:v>415</c:v>
                </c:pt>
                <c:pt idx="1130">
                  <c:v>410</c:v>
                </c:pt>
                <c:pt idx="1131">
                  <c:v>409.6</c:v>
                </c:pt>
                <c:pt idx="1132">
                  <c:v>409.8</c:v>
                </c:pt>
                <c:pt idx="1133">
                  <c:v>408.2</c:v>
                </c:pt>
                <c:pt idx="1134">
                  <c:v>407.8</c:v>
                </c:pt>
                <c:pt idx="1135">
                  <c:v>411.7</c:v>
                </c:pt>
                <c:pt idx="1136">
                  <c:v>416.6</c:v>
                </c:pt>
                <c:pt idx="1137">
                  <c:v>416.65</c:v>
                </c:pt>
                <c:pt idx="1138">
                  <c:v>413.8</c:v>
                </c:pt>
                <c:pt idx="1139">
                  <c:v>412.2</c:v>
                </c:pt>
                <c:pt idx="1140">
                  <c:v>413.8</c:v>
                </c:pt>
                <c:pt idx="1141">
                  <c:v>414.45</c:v>
                </c:pt>
                <c:pt idx="1142">
                  <c:v>417</c:v>
                </c:pt>
                <c:pt idx="1143">
                  <c:v>416.1</c:v>
                </c:pt>
                <c:pt idx="1144">
                  <c:v>414.2</c:v>
                </c:pt>
                <c:pt idx="1145">
                  <c:v>411.45</c:v>
                </c:pt>
                <c:pt idx="1146">
                  <c:v>405.3</c:v>
                </c:pt>
                <c:pt idx="1147">
                  <c:v>409.1</c:v>
                </c:pt>
                <c:pt idx="1148">
                  <c:v>406.25</c:v>
                </c:pt>
                <c:pt idx="1149">
                  <c:v>406</c:v>
                </c:pt>
                <c:pt idx="1150">
                  <c:v>398.3</c:v>
                </c:pt>
                <c:pt idx="1151">
                  <c:v>399.15</c:v>
                </c:pt>
                <c:pt idx="1152">
                  <c:v>403.35</c:v>
                </c:pt>
                <c:pt idx="1153">
                  <c:v>400.8</c:v>
                </c:pt>
                <c:pt idx="1154">
                  <c:v>409.5</c:v>
                </c:pt>
                <c:pt idx="1155">
                  <c:v>405.55</c:v>
                </c:pt>
                <c:pt idx="1156">
                  <c:v>407</c:v>
                </c:pt>
                <c:pt idx="1157">
                  <c:v>411.1</c:v>
                </c:pt>
                <c:pt idx="1158">
                  <c:v>415.75</c:v>
                </c:pt>
                <c:pt idx="1159">
                  <c:v>407.9</c:v>
                </c:pt>
                <c:pt idx="1160">
                  <c:v>408.4</c:v>
                </c:pt>
                <c:pt idx="1161">
                  <c:v>410</c:v>
                </c:pt>
                <c:pt idx="1162">
                  <c:v>413</c:v>
                </c:pt>
                <c:pt idx="1163">
                  <c:v>415.35</c:v>
                </c:pt>
                <c:pt idx="1164">
                  <c:v>413.55</c:v>
                </c:pt>
                <c:pt idx="1165">
                  <c:v>412.8</c:v>
                </c:pt>
                <c:pt idx="1166">
                  <c:v>413.65</c:v>
                </c:pt>
                <c:pt idx="1167">
                  <c:v>410.05</c:v>
                </c:pt>
                <c:pt idx="1168">
                  <c:v>412.5</c:v>
                </c:pt>
                <c:pt idx="1169">
                  <c:v>410</c:v>
                </c:pt>
                <c:pt idx="1170">
                  <c:v>407</c:v>
                </c:pt>
                <c:pt idx="1171">
                  <c:v>404</c:v>
                </c:pt>
                <c:pt idx="1172">
                  <c:v>401</c:v>
                </c:pt>
                <c:pt idx="1173">
                  <c:v>400.45</c:v>
                </c:pt>
                <c:pt idx="1174">
                  <c:v>405</c:v>
                </c:pt>
                <c:pt idx="1175">
                  <c:v>404.4</c:v>
                </c:pt>
                <c:pt idx="1176">
                  <c:v>401.7</c:v>
                </c:pt>
                <c:pt idx="1177">
                  <c:v>404.9</c:v>
                </c:pt>
                <c:pt idx="1178">
                  <c:v>404.6</c:v>
                </c:pt>
                <c:pt idx="1179">
                  <c:v>401.1</c:v>
                </c:pt>
                <c:pt idx="1180">
                  <c:v>399.9</c:v>
                </c:pt>
                <c:pt idx="1181">
                  <c:v>399.5</c:v>
                </c:pt>
                <c:pt idx="1182">
                  <c:v>399.3</c:v>
                </c:pt>
                <c:pt idx="1183">
                  <c:v>402.5</c:v>
                </c:pt>
                <c:pt idx="1184">
                  <c:v>399.4</c:v>
                </c:pt>
                <c:pt idx="1185">
                  <c:v>396.7</c:v>
                </c:pt>
                <c:pt idx="1186">
                  <c:v>400.3</c:v>
                </c:pt>
                <c:pt idx="1187">
                  <c:v>405.45</c:v>
                </c:pt>
                <c:pt idx="1188">
                  <c:v>411.4</c:v>
                </c:pt>
                <c:pt idx="1189">
                  <c:v>412.6</c:v>
                </c:pt>
                <c:pt idx="1190">
                  <c:v>412.5</c:v>
                </c:pt>
                <c:pt idx="1191">
                  <c:v>416.25</c:v>
                </c:pt>
                <c:pt idx="1192">
                  <c:v>417.8</c:v>
                </c:pt>
                <c:pt idx="1193">
                  <c:v>421</c:v>
                </c:pt>
                <c:pt idx="1194">
                  <c:v>417.85</c:v>
                </c:pt>
                <c:pt idx="1195">
                  <c:v>421.85</c:v>
                </c:pt>
                <c:pt idx="1196">
                  <c:v>419.35</c:v>
                </c:pt>
                <c:pt idx="1197">
                  <c:v>419.95</c:v>
                </c:pt>
                <c:pt idx="1198">
                  <c:v>414</c:v>
                </c:pt>
                <c:pt idx="1199">
                  <c:v>408.8</c:v>
                </c:pt>
                <c:pt idx="1200">
                  <c:v>408.5</c:v>
                </c:pt>
                <c:pt idx="1201">
                  <c:v>404.4</c:v>
                </c:pt>
                <c:pt idx="1202">
                  <c:v>406</c:v>
                </c:pt>
                <c:pt idx="1203">
                  <c:v>407.2</c:v>
                </c:pt>
                <c:pt idx="1204">
                  <c:v>407.4</c:v>
                </c:pt>
                <c:pt idx="1205">
                  <c:v>406.5</c:v>
                </c:pt>
                <c:pt idx="1206">
                  <c:v>408.25</c:v>
                </c:pt>
                <c:pt idx="1207">
                  <c:v>407.5</c:v>
                </c:pt>
                <c:pt idx="1208">
                  <c:v>405.7</c:v>
                </c:pt>
                <c:pt idx="1209">
                  <c:v>403.7</c:v>
                </c:pt>
                <c:pt idx="1210">
                  <c:v>405.6</c:v>
                </c:pt>
                <c:pt idx="1211">
                  <c:v>408</c:v>
                </c:pt>
                <c:pt idx="1212">
                  <c:v>404.2</c:v>
                </c:pt>
                <c:pt idx="1213">
                  <c:v>400.4</c:v>
                </c:pt>
                <c:pt idx="1214">
                  <c:v>402.55</c:v>
                </c:pt>
                <c:pt idx="1215">
                  <c:v>405</c:v>
                </c:pt>
                <c:pt idx="1216">
                  <c:v>404.3</c:v>
                </c:pt>
                <c:pt idx="1217">
                  <c:v>404.05</c:v>
                </c:pt>
                <c:pt idx="1218">
                  <c:v>401.7</c:v>
                </c:pt>
                <c:pt idx="1219">
                  <c:v>400.7</c:v>
                </c:pt>
                <c:pt idx="1220">
                  <c:v>403.25</c:v>
                </c:pt>
                <c:pt idx="1221">
                  <c:v>404.6</c:v>
                </c:pt>
                <c:pt idx="1222">
                  <c:v>402</c:v>
                </c:pt>
                <c:pt idx="1223">
                  <c:v>401.25</c:v>
                </c:pt>
                <c:pt idx="1224">
                  <c:v>403.05</c:v>
                </c:pt>
                <c:pt idx="1225">
                  <c:v>403</c:v>
                </c:pt>
                <c:pt idx="1226">
                  <c:v>400.7</c:v>
                </c:pt>
                <c:pt idx="1227">
                  <c:v>402</c:v>
                </c:pt>
                <c:pt idx="1228">
                  <c:v>402</c:v>
                </c:pt>
                <c:pt idx="1229">
                  <c:v>400.25</c:v>
                </c:pt>
                <c:pt idx="1230">
                  <c:v>400.85</c:v>
                </c:pt>
                <c:pt idx="1231">
                  <c:v>400.9</c:v>
                </c:pt>
                <c:pt idx="1232">
                  <c:v>402.85</c:v>
                </c:pt>
                <c:pt idx="1233">
                  <c:v>408.85</c:v>
                </c:pt>
                <c:pt idx="1234">
                  <c:v>406.8</c:v>
                </c:pt>
                <c:pt idx="1235">
                  <c:v>404.9</c:v>
                </c:pt>
                <c:pt idx="1236">
                  <c:v>402.95</c:v>
                </c:pt>
                <c:pt idx="1237">
                  <c:v>401.1</c:v>
                </c:pt>
                <c:pt idx="1238">
                  <c:v>402.7</c:v>
                </c:pt>
                <c:pt idx="1239">
                  <c:v>363.95</c:v>
                </c:pt>
                <c:pt idx="1240">
                  <c:v>350.1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A-4DA7-8871-546BE2E4A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890864"/>
        <c:axId val="307886064"/>
      </c:lineChart>
      <c:dateAx>
        <c:axId val="3078908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68000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86064"/>
        <c:crosses val="autoZero"/>
        <c:auto val="1"/>
        <c:lblOffset val="100"/>
        <c:baseTimeUnit val="days"/>
      </c:dateAx>
      <c:valAx>
        <c:axId val="307886064"/>
        <c:scaling>
          <c:orientation val="minMax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08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793390754921003"/>
          <c:y val="4.6957459453443123E-2"/>
          <c:w val="0.52896875793751585"/>
          <c:h val="0.7710959322855727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64-4A32-BC21-639A732398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64-4A32-BC21-639A732398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64-4A32-BC21-639A732398C1}"/>
              </c:ext>
            </c:extLst>
          </c:dPt>
          <c:dLbls>
            <c:dLbl>
              <c:idx val="0"/>
              <c:layout>
                <c:manualLayout>
                  <c:x val="-0.2676191652758741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64-4A32-BC21-639A732398C1}"/>
                </c:ext>
              </c:extLst>
            </c:dLbl>
            <c:dLbl>
              <c:idx val="1"/>
              <c:layout>
                <c:manualLayout>
                  <c:x val="-0.2969714910849425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64-4A32-BC21-639A732398C1}"/>
                </c:ext>
              </c:extLst>
            </c:dLbl>
            <c:dLbl>
              <c:idx val="2"/>
              <c:layout>
                <c:manualLayout>
                  <c:x val="-0.17004341758894079"/>
                  <c:y val="-6.59612602458805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80879093814043"/>
                      <c:h val="7.9983226696037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764-4A32-BC21-639A73239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teaser!$L$49:$L$51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&amp; Government </c:v>
                </c:pt>
              </c:strCache>
            </c:strRef>
          </c:cat>
          <c:val>
            <c:numRef>
              <c:f>teaser!$M$49:$M$51</c:f>
              <c:numCache>
                <c:formatCode>0.00%</c:formatCode>
                <c:ptCount val="3"/>
                <c:pt idx="0">
                  <c:v>0.37390000000000001</c:v>
                </c:pt>
                <c:pt idx="1">
                  <c:v>0.47410000000000002</c:v>
                </c:pt>
                <c:pt idx="2">
                  <c:v>0.15200000000000002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4-4A32-BC21-639A732398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56290240"/>
        <c:axId val="256292160"/>
      </c:barChart>
      <c:catAx>
        <c:axId val="25629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92160"/>
        <c:crosses val="autoZero"/>
        <c:auto val="1"/>
        <c:lblAlgn val="ctr"/>
        <c:lblOffset val="100"/>
        <c:noMultiLvlLbl val="0"/>
      </c:catAx>
      <c:valAx>
        <c:axId val="25629216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9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 price'!$F$3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'share price'!$E$4:$E$252</c:f>
              <c:numCache>
                <c:formatCode>d\-mmm\-yy</c:formatCode>
                <c:ptCount val="249"/>
                <c:pt idx="0">
                  <c:v>46024</c:v>
                </c:pt>
                <c:pt idx="1">
                  <c:v>46023</c:v>
                </c:pt>
                <c:pt idx="2">
                  <c:v>46022</c:v>
                </c:pt>
                <c:pt idx="3">
                  <c:v>46021</c:v>
                </c:pt>
                <c:pt idx="4">
                  <c:v>46020</c:v>
                </c:pt>
                <c:pt idx="5">
                  <c:v>46017</c:v>
                </c:pt>
                <c:pt idx="6">
                  <c:v>46015</c:v>
                </c:pt>
                <c:pt idx="7">
                  <c:v>46014</c:v>
                </c:pt>
                <c:pt idx="8">
                  <c:v>46013</c:v>
                </c:pt>
                <c:pt idx="9">
                  <c:v>46010</c:v>
                </c:pt>
                <c:pt idx="10">
                  <c:v>46009</c:v>
                </c:pt>
                <c:pt idx="11">
                  <c:v>46008</c:v>
                </c:pt>
                <c:pt idx="12">
                  <c:v>46007</c:v>
                </c:pt>
                <c:pt idx="13">
                  <c:v>46006</c:v>
                </c:pt>
                <c:pt idx="14">
                  <c:v>46003</c:v>
                </c:pt>
                <c:pt idx="15">
                  <c:v>46002</c:v>
                </c:pt>
                <c:pt idx="16">
                  <c:v>46001</c:v>
                </c:pt>
                <c:pt idx="17">
                  <c:v>46000</c:v>
                </c:pt>
                <c:pt idx="18">
                  <c:v>45999</c:v>
                </c:pt>
                <c:pt idx="19">
                  <c:v>45996</c:v>
                </c:pt>
                <c:pt idx="20">
                  <c:v>45995</c:v>
                </c:pt>
                <c:pt idx="21">
                  <c:v>45994</c:v>
                </c:pt>
                <c:pt idx="22">
                  <c:v>45993</c:v>
                </c:pt>
                <c:pt idx="23">
                  <c:v>45992</c:v>
                </c:pt>
                <c:pt idx="24">
                  <c:v>45989</c:v>
                </c:pt>
                <c:pt idx="25">
                  <c:v>45988</c:v>
                </c:pt>
                <c:pt idx="26">
                  <c:v>45987</c:v>
                </c:pt>
                <c:pt idx="27">
                  <c:v>45986</c:v>
                </c:pt>
                <c:pt idx="28">
                  <c:v>45985</c:v>
                </c:pt>
                <c:pt idx="29">
                  <c:v>45982</c:v>
                </c:pt>
                <c:pt idx="30">
                  <c:v>45981</c:v>
                </c:pt>
                <c:pt idx="31">
                  <c:v>45980</c:v>
                </c:pt>
                <c:pt idx="32">
                  <c:v>45979</c:v>
                </c:pt>
                <c:pt idx="33">
                  <c:v>45978</c:v>
                </c:pt>
                <c:pt idx="34">
                  <c:v>45975</c:v>
                </c:pt>
                <c:pt idx="35">
                  <c:v>45974</c:v>
                </c:pt>
                <c:pt idx="36">
                  <c:v>45973</c:v>
                </c:pt>
                <c:pt idx="37">
                  <c:v>45972</c:v>
                </c:pt>
                <c:pt idx="38">
                  <c:v>45971</c:v>
                </c:pt>
                <c:pt idx="39">
                  <c:v>45968</c:v>
                </c:pt>
                <c:pt idx="40">
                  <c:v>45967</c:v>
                </c:pt>
                <c:pt idx="41">
                  <c:v>45965</c:v>
                </c:pt>
                <c:pt idx="42">
                  <c:v>45964</c:v>
                </c:pt>
                <c:pt idx="43">
                  <c:v>45961</c:v>
                </c:pt>
                <c:pt idx="44">
                  <c:v>45960</c:v>
                </c:pt>
                <c:pt idx="45">
                  <c:v>45959</c:v>
                </c:pt>
                <c:pt idx="46">
                  <c:v>45958</c:v>
                </c:pt>
                <c:pt idx="47">
                  <c:v>45957</c:v>
                </c:pt>
                <c:pt idx="48">
                  <c:v>45954</c:v>
                </c:pt>
                <c:pt idx="49">
                  <c:v>45953</c:v>
                </c:pt>
                <c:pt idx="50">
                  <c:v>45951</c:v>
                </c:pt>
                <c:pt idx="51">
                  <c:v>45950</c:v>
                </c:pt>
                <c:pt idx="52">
                  <c:v>45947</c:v>
                </c:pt>
                <c:pt idx="53">
                  <c:v>45946</c:v>
                </c:pt>
                <c:pt idx="54">
                  <c:v>45945</c:v>
                </c:pt>
                <c:pt idx="55">
                  <c:v>45944</c:v>
                </c:pt>
                <c:pt idx="56">
                  <c:v>45943</c:v>
                </c:pt>
                <c:pt idx="57">
                  <c:v>45940</c:v>
                </c:pt>
                <c:pt idx="58">
                  <c:v>45939</c:v>
                </c:pt>
                <c:pt idx="59">
                  <c:v>45938</c:v>
                </c:pt>
                <c:pt idx="60">
                  <c:v>45937</c:v>
                </c:pt>
                <c:pt idx="61">
                  <c:v>45936</c:v>
                </c:pt>
                <c:pt idx="62">
                  <c:v>45933</c:v>
                </c:pt>
                <c:pt idx="63">
                  <c:v>45931</c:v>
                </c:pt>
                <c:pt idx="64">
                  <c:v>45930</c:v>
                </c:pt>
                <c:pt idx="65">
                  <c:v>45929</c:v>
                </c:pt>
                <c:pt idx="66">
                  <c:v>45926</c:v>
                </c:pt>
                <c:pt idx="67">
                  <c:v>45925</c:v>
                </c:pt>
                <c:pt idx="68">
                  <c:v>45924</c:v>
                </c:pt>
                <c:pt idx="69">
                  <c:v>45923</c:v>
                </c:pt>
                <c:pt idx="70">
                  <c:v>45922</c:v>
                </c:pt>
                <c:pt idx="71">
                  <c:v>45919</c:v>
                </c:pt>
                <c:pt idx="72">
                  <c:v>45918</c:v>
                </c:pt>
                <c:pt idx="73">
                  <c:v>45917</c:v>
                </c:pt>
                <c:pt idx="74">
                  <c:v>45916</c:v>
                </c:pt>
                <c:pt idx="75">
                  <c:v>45915</c:v>
                </c:pt>
                <c:pt idx="76">
                  <c:v>45912</c:v>
                </c:pt>
                <c:pt idx="77">
                  <c:v>45911</c:v>
                </c:pt>
                <c:pt idx="78">
                  <c:v>45910</c:v>
                </c:pt>
                <c:pt idx="79">
                  <c:v>45909</c:v>
                </c:pt>
                <c:pt idx="80">
                  <c:v>45908</c:v>
                </c:pt>
                <c:pt idx="81">
                  <c:v>45905</c:v>
                </c:pt>
                <c:pt idx="82">
                  <c:v>45904</c:v>
                </c:pt>
                <c:pt idx="83">
                  <c:v>45903</c:v>
                </c:pt>
                <c:pt idx="84">
                  <c:v>45902</c:v>
                </c:pt>
                <c:pt idx="85">
                  <c:v>45901</c:v>
                </c:pt>
                <c:pt idx="86">
                  <c:v>45898</c:v>
                </c:pt>
                <c:pt idx="87">
                  <c:v>45897</c:v>
                </c:pt>
                <c:pt idx="88">
                  <c:v>45895</c:v>
                </c:pt>
                <c:pt idx="89">
                  <c:v>45894</c:v>
                </c:pt>
                <c:pt idx="90">
                  <c:v>45891</c:v>
                </c:pt>
                <c:pt idx="91">
                  <c:v>45890</c:v>
                </c:pt>
                <c:pt idx="92">
                  <c:v>45889</c:v>
                </c:pt>
                <c:pt idx="93">
                  <c:v>45888</c:v>
                </c:pt>
                <c:pt idx="94">
                  <c:v>45887</c:v>
                </c:pt>
                <c:pt idx="95">
                  <c:v>45883</c:v>
                </c:pt>
                <c:pt idx="96">
                  <c:v>45882</c:v>
                </c:pt>
                <c:pt idx="97">
                  <c:v>45881</c:v>
                </c:pt>
                <c:pt idx="98">
                  <c:v>45880</c:v>
                </c:pt>
                <c:pt idx="99">
                  <c:v>45877</c:v>
                </c:pt>
                <c:pt idx="100">
                  <c:v>45876</c:v>
                </c:pt>
                <c:pt idx="101">
                  <c:v>45875</c:v>
                </c:pt>
                <c:pt idx="102">
                  <c:v>45874</c:v>
                </c:pt>
                <c:pt idx="103">
                  <c:v>45873</c:v>
                </c:pt>
                <c:pt idx="104">
                  <c:v>45870</c:v>
                </c:pt>
                <c:pt idx="105">
                  <c:v>45869</c:v>
                </c:pt>
                <c:pt idx="106">
                  <c:v>45868</c:v>
                </c:pt>
                <c:pt idx="107">
                  <c:v>45867</c:v>
                </c:pt>
                <c:pt idx="108">
                  <c:v>45866</c:v>
                </c:pt>
                <c:pt idx="109">
                  <c:v>45863</c:v>
                </c:pt>
                <c:pt idx="110">
                  <c:v>45862</c:v>
                </c:pt>
                <c:pt idx="111">
                  <c:v>45861</c:v>
                </c:pt>
                <c:pt idx="112">
                  <c:v>45860</c:v>
                </c:pt>
                <c:pt idx="113">
                  <c:v>45859</c:v>
                </c:pt>
                <c:pt idx="114">
                  <c:v>45856</c:v>
                </c:pt>
                <c:pt idx="115">
                  <c:v>45855</c:v>
                </c:pt>
                <c:pt idx="116">
                  <c:v>45854</c:v>
                </c:pt>
                <c:pt idx="117">
                  <c:v>45853</c:v>
                </c:pt>
                <c:pt idx="118">
                  <c:v>45852</c:v>
                </c:pt>
                <c:pt idx="119">
                  <c:v>45849</c:v>
                </c:pt>
                <c:pt idx="120">
                  <c:v>45848</c:v>
                </c:pt>
                <c:pt idx="121">
                  <c:v>45847</c:v>
                </c:pt>
                <c:pt idx="122">
                  <c:v>45846</c:v>
                </c:pt>
                <c:pt idx="123">
                  <c:v>45845</c:v>
                </c:pt>
                <c:pt idx="124">
                  <c:v>45842</c:v>
                </c:pt>
                <c:pt idx="125">
                  <c:v>45841</c:v>
                </c:pt>
                <c:pt idx="126">
                  <c:v>45840</c:v>
                </c:pt>
                <c:pt idx="127">
                  <c:v>45839</c:v>
                </c:pt>
                <c:pt idx="128">
                  <c:v>45838</c:v>
                </c:pt>
                <c:pt idx="129">
                  <c:v>45835</c:v>
                </c:pt>
                <c:pt idx="130">
                  <c:v>45834</c:v>
                </c:pt>
                <c:pt idx="131">
                  <c:v>45833</c:v>
                </c:pt>
                <c:pt idx="132">
                  <c:v>45832</c:v>
                </c:pt>
                <c:pt idx="133">
                  <c:v>45831</c:v>
                </c:pt>
                <c:pt idx="134">
                  <c:v>45828</c:v>
                </c:pt>
                <c:pt idx="135">
                  <c:v>45827</c:v>
                </c:pt>
                <c:pt idx="136">
                  <c:v>45826</c:v>
                </c:pt>
                <c:pt idx="137">
                  <c:v>45825</c:v>
                </c:pt>
                <c:pt idx="138">
                  <c:v>45824</c:v>
                </c:pt>
                <c:pt idx="139">
                  <c:v>45821</c:v>
                </c:pt>
                <c:pt idx="140">
                  <c:v>45820</c:v>
                </c:pt>
                <c:pt idx="141">
                  <c:v>45819</c:v>
                </c:pt>
                <c:pt idx="142">
                  <c:v>45818</c:v>
                </c:pt>
                <c:pt idx="143">
                  <c:v>45817</c:v>
                </c:pt>
                <c:pt idx="144">
                  <c:v>45814</c:v>
                </c:pt>
                <c:pt idx="145">
                  <c:v>45813</c:v>
                </c:pt>
                <c:pt idx="146">
                  <c:v>45812</c:v>
                </c:pt>
                <c:pt idx="147">
                  <c:v>45811</c:v>
                </c:pt>
                <c:pt idx="148">
                  <c:v>45810</c:v>
                </c:pt>
                <c:pt idx="149">
                  <c:v>45807</c:v>
                </c:pt>
                <c:pt idx="150">
                  <c:v>45806</c:v>
                </c:pt>
                <c:pt idx="151">
                  <c:v>45805</c:v>
                </c:pt>
                <c:pt idx="152">
                  <c:v>45804</c:v>
                </c:pt>
                <c:pt idx="153">
                  <c:v>45803</c:v>
                </c:pt>
                <c:pt idx="154">
                  <c:v>45800</c:v>
                </c:pt>
                <c:pt idx="155">
                  <c:v>45799</c:v>
                </c:pt>
                <c:pt idx="156">
                  <c:v>45798</c:v>
                </c:pt>
                <c:pt idx="157">
                  <c:v>45797</c:v>
                </c:pt>
                <c:pt idx="158">
                  <c:v>45796</c:v>
                </c:pt>
                <c:pt idx="159">
                  <c:v>45793</c:v>
                </c:pt>
                <c:pt idx="160">
                  <c:v>45792</c:v>
                </c:pt>
                <c:pt idx="161">
                  <c:v>45791</c:v>
                </c:pt>
                <c:pt idx="162">
                  <c:v>45790</c:v>
                </c:pt>
                <c:pt idx="163">
                  <c:v>45789</c:v>
                </c:pt>
                <c:pt idx="164">
                  <c:v>45786</c:v>
                </c:pt>
                <c:pt idx="165">
                  <c:v>45785</c:v>
                </c:pt>
                <c:pt idx="166">
                  <c:v>45784</c:v>
                </c:pt>
                <c:pt idx="167">
                  <c:v>45783</c:v>
                </c:pt>
                <c:pt idx="168">
                  <c:v>45782</c:v>
                </c:pt>
                <c:pt idx="169">
                  <c:v>45779</c:v>
                </c:pt>
                <c:pt idx="170">
                  <c:v>45777</c:v>
                </c:pt>
                <c:pt idx="171">
                  <c:v>45776</c:v>
                </c:pt>
                <c:pt idx="172">
                  <c:v>45775</c:v>
                </c:pt>
                <c:pt idx="173">
                  <c:v>45772</c:v>
                </c:pt>
                <c:pt idx="174">
                  <c:v>45771</c:v>
                </c:pt>
                <c:pt idx="175">
                  <c:v>45770</c:v>
                </c:pt>
                <c:pt idx="176">
                  <c:v>45769</c:v>
                </c:pt>
                <c:pt idx="177">
                  <c:v>45768</c:v>
                </c:pt>
                <c:pt idx="178">
                  <c:v>45764</c:v>
                </c:pt>
                <c:pt idx="179">
                  <c:v>45763</c:v>
                </c:pt>
                <c:pt idx="180">
                  <c:v>45762</c:v>
                </c:pt>
                <c:pt idx="181">
                  <c:v>45758</c:v>
                </c:pt>
                <c:pt idx="182">
                  <c:v>45756</c:v>
                </c:pt>
                <c:pt idx="183">
                  <c:v>45755</c:v>
                </c:pt>
                <c:pt idx="184">
                  <c:v>45754</c:v>
                </c:pt>
                <c:pt idx="185">
                  <c:v>45751</c:v>
                </c:pt>
                <c:pt idx="186">
                  <c:v>45750</c:v>
                </c:pt>
                <c:pt idx="187">
                  <c:v>45749</c:v>
                </c:pt>
                <c:pt idx="188">
                  <c:v>45748</c:v>
                </c:pt>
                <c:pt idx="189">
                  <c:v>45744</c:v>
                </c:pt>
                <c:pt idx="190">
                  <c:v>45743</c:v>
                </c:pt>
                <c:pt idx="191">
                  <c:v>45742</c:v>
                </c:pt>
                <c:pt idx="192">
                  <c:v>45741</c:v>
                </c:pt>
                <c:pt idx="193">
                  <c:v>45740</c:v>
                </c:pt>
                <c:pt idx="194">
                  <c:v>45737</c:v>
                </c:pt>
                <c:pt idx="195">
                  <c:v>45736</c:v>
                </c:pt>
                <c:pt idx="196">
                  <c:v>45735</c:v>
                </c:pt>
                <c:pt idx="197">
                  <c:v>45734</c:v>
                </c:pt>
                <c:pt idx="198">
                  <c:v>45733</c:v>
                </c:pt>
                <c:pt idx="199">
                  <c:v>45729</c:v>
                </c:pt>
                <c:pt idx="200">
                  <c:v>45728</c:v>
                </c:pt>
                <c:pt idx="201">
                  <c:v>45727</c:v>
                </c:pt>
                <c:pt idx="202">
                  <c:v>45726</c:v>
                </c:pt>
                <c:pt idx="203">
                  <c:v>45723</c:v>
                </c:pt>
                <c:pt idx="204">
                  <c:v>45722</c:v>
                </c:pt>
                <c:pt idx="205">
                  <c:v>45721</c:v>
                </c:pt>
                <c:pt idx="206">
                  <c:v>45720</c:v>
                </c:pt>
                <c:pt idx="207">
                  <c:v>45719</c:v>
                </c:pt>
                <c:pt idx="208">
                  <c:v>45716</c:v>
                </c:pt>
                <c:pt idx="209">
                  <c:v>45715</c:v>
                </c:pt>
                <c:pt idx="210">
                  <c:v>45713</c:v>
                </c:pt>
                <c:pt idx="211">
                  <c:v>45712</c:v>
                </c:pt>
                <c:pt idx="212">
                  <c:v>45709</c:v>
                </c:pt>
                <c:pt idx="213">
                  <c:v>45708</c:v>
                </c:pt>
                <c:pt idx="214">
                  <c:v>45707</c:v>
                </c:pt>
                <c:pt idx="215">
                  <c:v>45706</c:v>
                </c:pt>
                <c:pt idx="216">
                  <c:v>45705</c:v>
                </c:pt>
                <c:pt idx="217">
                  <c:v>45702</c:v>
                </c:pt>
                <c:pt idx="218">
                  <c:v>45701</c:v>
                </c:pt>
                <c:pt idx="219">
                  <c:v>45700</c:v>
                </c:pt>
                <c:pt idx="220">
                  <c:v>45699</c:v>
                </c:pt>
                <c:pt idx="221">
                  <c:v>45698</c:v>
                </c:pt>
                <c:pt idx="222">
                  <c:v>45695</c:v>
                </c:pt>
                <c:pt idx="223">
                  <c:v>45694</c:v>
                </c:pt>
                <c:pt idx="224">
                  <c:v>45693</c:v>
                </c:pt>
                <c:pt idx="225">
                  <c:v>45692</c:v>
                </c:pt>
                <c:pt idx="226">
                  <c:v>45691</c:v>
                </c:pt>
                <c:pt idx="227">
                  <c:v>45689</c:v>
                </c:pt>
                <c:pt idx="228">
                  <c:v>45688</c:v>
                </c:pt>
                <c:pt idx="229">
                  <c:v>45687</c:v>
                </c:pt>
                <c:pt idx="230">
                  <c:v>45686</c:v>
                </c:pt>
                <c:pt idx="231">
                  <c:v>45685</c:v>
                </c:pt>
                <c:pt idx="232">
                  <c:v>45684</c:v>
                </c:pt>
                <c:pt idx="233">
                  <c:v>45681</c:v>
                </c:pt>
                <c:pt idx="234">
                  <c:v>45680</c:v>
                </c:pt>
                <c:pt idx="235">
                  <c:v>45679</c:v>
                </c:pt>
                <c:pt idx="236">
                  <c:v>45678</c:v>
                </c:pt>
                <c:pt idx="237">
                  <c:v>45677</c:v>
                </c:pt>
                <c:pt idx="238">
                  <c:v>45674</c:v>
                </c:pt>
                <c:pt idx="239">
                  <c:v>45673</c:v>
                </c:pt>
                <c:pt idx="240">
                  <c:v>45672</c:v>
                </c:pt>
                <c:pt idx="241">
                  <c:v>45671</c:v>
                </c:pt>
                <c:pt idx="242">
                  <c:v>45670</c:v>
                </c:pt>
                <c:pt idx="243">
                  <c:v>45667</c:v>
                </c:pt>
                <c:pt idx="244">
                  <c:v>45666</c:v>
                </c:pt>
                <c:pt idx="245">
                  <c:v>45665</c:v>
                </c:pt>
                <c:pt idx="246">
                  <c:v>45664</c:v>
                </c:pt>
                <c:pt idx="247">
                  <c:v>45663</c:v>
                </c:pt>
                <c:pt idx="248">
                  <c:v>45660</c:v>
                </c:pt>
              </c:numCache>
            </c:numRef>
          </c:cat>
          <c:val>
            <c:numRef>
              <c:f>'share price'!$F$4:$F$252</c:f>
              <c:numCache>
                <c:formatCode>General</c:formatCode>
                <c:ptCount val="249"/>
                <c:pt idx="0">
                  <c:v>118790358</c:v>
                </c:pt>
                <c:pt idx="1">
                  <c:v>282626710</c:v>
                </c:pt>
                <c:pt idx="2">
                  <c:v>9945109</c:v>
                </c:pt>
                <c:pt idx="3">
                  <c:v>12340527</c:v>
                </c:pt>
                <c:pt idx="4">
                  <c:v>6647710</c:v>
                </c:pt>
                <c:pt idx="5">
                  <c:v>3152453</c:v>
                </c:pt>
                <c:pt idx="6">
                  <c:v>5777430</c:v>
                </c:pt>
                <c:pt idx="7">
                  <c:v>10081997</c:v>
                </c:pt>
                <c:pt idx="8">
                  <c:v>6847871</c:v>
                </c:pt>
                <c:pt idx="9">
                  <c:v>10654835</c:v>
                </c:pt>
                <c:pt idx="10">
                  <c:v>7227668</c:v>
                </c:pt>
                <c:pt idx="11">
                  <c:v>8087490</c:v>
                </c:pt>
                <c:pt idx="12">
                  <c:v>12347384</c:v>
                </c:pt>
                <c:pt idx="13">
                  <c:v>7756564</c:v>
                </c:pt>
                <c:pt idx="14">
                  <c:v>12407516</c:v>
                </c:pt>
                <c:pt idx="15">
                  <c:v>6980147</c:v>
                </c:pt>
                <c:pt idx="16">
                  <c:v>6969146</c:v>
                </c:pt>
                <c:pt idx="17">
                  <c:v>9426717</c:v>
                </c:pt>
                <c:pt idx="18">
                  <c:v>6056866</c:v>
                </c:pt>
                <c:pt idx="19">
                  <c:v>4419747</c:v>
                </c:pt>
                <c:pt idx="20">
                  <c:v>8057989</c:v>
                </c:pt>
                <c:pt idx="21">
                  <c:v>10772192</c:v>
                </c:pt>
                <c:pt idx="22">
                  <c:v>8093808</c:v>
                </c:pt>
                <c:pt idx="23">
                  <c:v>13442658</c:v>
                </c:pt>
                <c:pt idx="24">
                  <c:v>6883500</c:v>
                </c:pt>
                <c:pt idx="25">
                  <c:v>8679529</c:v>
                </c:pt>
                <c:pt idx="26">
                  <c:v>11443953</c:v>
                </c:pt>
                <c:pt idx="27">
                  <c:v>8199785</c:v>
                </c:pt>
                <c:pt idx="28">
                  <c:v>11037491</c:v>
                </c:pt>
                <c:pt idx="29">
                  <c:v>5808131</c:v>
                </c:pt>
                <c:pt idx="30">
                  <c:v>6693410</c:v>
                </c:pt>
                <c:pt idx="31">
                  <c:v>7882450</c:v>
                </c:pt>
                <c:pt idx="32">
                  <c:v>7661681</c:v>
                </c:pt>
                <c:pt idx="33">
                  <c:v>7855399</c:v>
                </c:pt>
                <c:pt idx="34">
                  <c:v>64020258</c:v>
                </c:pt>
                <c:pt idx="35">
                  <c:v>6617185</c:v>
                </c:pt>
                <c:pt idx="36">
                  <c:v>7987236</c:v>
                </c:pt>
                <c:pt idx="37">
                  <c:v>12005318</c:v>
                </c:pt>
                <c:pt idx="38">
                  <c:v>6650003</c:v>
                </c:pt>
                <c:pt idx="39">
                  <c:v>8411611</c:v>
                </c:pt>
                <c:pt idx="40">
                  <c:v>10095563</c:v>
                </c:pt>
                <c:pt idx="41">
                  <c:v>10085404</c:v>
                </c:pt>
                <c:pt idx="42">
                  <c:v>7635440</c:v>
                </c:pt>
                <c:pt idx="43">
                  <c:v>18599864</c:v>
                </c:pt>
                <c:pt idx="44">
                  <c:v>12938674</c:v>
                </c:pt>
                <c:pt idx="45">
                  <c:v>11470661</c:v>
                </c:pt>
                <c:pt idx="46">
                  <c:v>17163147</c:v>
                </c:pt>
                <c:pt idx="47">
                  <c:v>11603679</c:v>
                </c:pt>
                <c:pt idx="48">
                  <c:v>14935678</c:v>
                </c:pt>
                <c:pt idx="49">
                  <c:v>24305990</c:v>
                </c:pt>
                <c:pt idx="50">
                  <c:v>1142130</c:v>
                </c:pt>
                <c:pt idx="51">
                  <c:v>13083621</c:v>
                </c:pt>
                <c:pt idx="52">
                  <c:v>21071344</c:v>
                </c:pt>
                <c:pt idx="53">
                  <c:v>22962049</c:v>
                </c:pt>
                <c:pt idx="54">
                  <c:v>16043867</c:v>
                </c:pt>
                <c:pt idx="55">
                  <c:v>10291102</c:v>
                </c:pt>
                <c:pt idx="56">
                  <c:v>9508594</c:v>
                </c:pt>
                <c:pt idx="57">
                  <c:v>15085738</c:v>
                </c:pt>
                <c:pt idx="58">
                  <c:v>15656267</c:v>
                </c:pt>
                <c:pt idx="59">
                  <c:v>8402463</c:v>
                </c:pt>
                <c:pt idx="60">
                  <c:v>12298968</c:v>
                </c:pt>
                <c:pt idx="61">
                  <c:v>13989077</c:v>
                </c:pt>
                <c:pt idx="62">
                  <c:v>16987141</c:v>
                </c:pt>
                <c:pt idx="63">
                  <c:v>17643039</c:v>
                </c:pt>
                <c:pt idx="64">
                  <c:v>9465490</c:v>
                </c:pt>
                <c:pt idx="65">
                  <c:v>19717660</c:v>
                </c:pt>
                <c:pt idx="66">
                  <c:v>14414044</c:v>
                </c:pt>
                <c:pt idx="67">
                  <c:v>22006368</c:v>
                </c:pt>
                <c:pt idx="68">
                  <c:v>12380865</c:v>
                </c:pt>
                <c:pt idx="69">
                  <c:v>14936357</c:v>
                </c:pt>
                <c:pt idx="70">
                  <c:v>8930779</c:v>
                </c:pt>
                <c:pt idx="71">
                  <c:v>19505321</c:v>
                </c:pt>
                <c:pt idx="72">
                  <c:v>15647808</c:v>
                </c:pt>
                <c:pt idx="73">
                  <c:v>14113882</c:v>
                </c:pt>
                <c:pt idx="74">
                  <c:v>8239087</c:v>
                </c:pt>
                <c:pt idx="75">
                  <c:v>5707331</c:v>
                </c:pt>
                <c:pt idx="76">
                  <c:v>7803379</c:v>
                </c:pt>
                <c:pt idx="77">
                  <c:v>8274406</c:v>
                </c:pt>
                <c:pt idx="78">
                  <c:v>9252397</c:v>
                </c:pt>
                <c:pt idx="79">
                  <c:v>8825896</c:v>
                </c:pt>
                <c:pt idx="80">
                  <c:v>7419022</c:v>
                </c:pt>
                <c:pt idx="81">
                  <c:v>16000675</c:v>
                </c:pt>
                <c:pt idx="82">
                  <c:v>27274123</c:v>
                </c:pt>
                <c:pt idx="83">
                  <c:v>12936588</c:v>
                </c:pt>
                <c:pt idx="84">
                  <c:v>19808255</c:v>
                </c:pt>
                <c:pt idx="85">
                  <c:v>12268090</c:v>
                </c:pt>
                <c:pt idx="86">
                  <c:v>25255050</c:v>
                </c:pt>
                <c:pt idx="87">
                  <c:v>12471719</c:v>
                </c:pt>
                <c:pt idx="88">
                  <c:v>13715752</c:v>
                </c:pt>
                <c:pt idx="89">
                  <c:v>10440286</c:v>
                </c:pt>
                <c:pt idx="90">
                  <c:v>13087624</c:v>
                </c:pt>
                <c:pt idx="91">
                  <c:v>15028966</c:v>
                </c:pt>
                <c:pt idx="92">
                  <c:v>18188129</c:v>
                </c:pt>
                <c:pt idx="93">
                  <c:v>16681331</c:v>
                </c:pt>
                <c:pt idx="94">
                  <c:v>30950814</c:v>
                </c:pt>
                <c:pt idx="95">
                  <c:v>9580361</c:v>
                </c:pt>
                <c:pt idx="96">
                  <c:v>10874910</c:v>
                </c:pt>
                <c:pt idx="97">
                  <c:v>13635738</c:v>
                </c:pt>
                <c:pt idx="98">
                  <c:v>8514272</c:v>
                </c:pt>
                <c:pt idx="99">
                  <c:v>9814361</c:v>
                </c:pt>
                <c:pt idx="100">
                  <c:v>11514878</c:v>
                </c:pt>
                <c:pt idx="101">
                  <c:v>9080543</c:v>
                </c:pt>
                <c:pt idx="102">
                  <c:v>8495104</c:v>
                </c:pt>
                <c:pt idx="103">
                  <c:v>18352458</c:v>
                </c:pt>
                <c:pt idx="104">
                  <c:v>14324065</c:v>
                </c:pt>
                <c:pt idx="105">
                  <c:v>19364174</c:v>
                </c:pt>
                <c:pt idx="106">
                  <c:v>10915863</c:v>
                </c:pt>
                <c:pt idx="107">
                  <c:v>6811772</c:v>
                </c:pt>
                <c:pt idx="108">
                  <c:v>8123337</c:v>
                </c:pt>
                <c:pt idx="109">
                  <c:v>5824089</c:v>
                </c:pt>
                <c:pt idx="110">
                  <c:v>9005157</c:v>
                </c:pt>
                <c:pt idx="111">
                  <c:v>12196187</c:v>
                </c:pt>
                <c:pt idx="112">
                  <c:v>9869507</c:v>
                </c:pt>
                <c:pt idx="113">
                  <c:v>4822343</c:v>
                </c:pt>
                <c:pt idx="114">
                  <c:v>6730256</c:v>
                </c:pt>
                <c:pt idx="115">
                  <c:v>7240795</c:v>
                </c:pt>
                <c:pt idx="116">
                  <c:v>9780773</c:v>
                </c:pt>
                <c:pt idx="117">
                  <c:v>8532755</c:v>
                </c:pt>
                <c:pt idx="118">
                  <c:v>6896989</c:v>
                </c:pt>
                <c:pt idx="119">
                  <c:v>8578844</c:v>
                </c:pt>
                <c:pt idx="120">
                  <c:v>6220360</c:v>
                </c:pt>
                <c:pt idx="121">
                  <c:v>9930533</c:v>
                </c:pt>
                <c:pt idx="122">
                  <c:v>6807192</c:v>
                </c:pt>
                <c:pt idx="123">
                  <c:v>6845218</c:v>
                </c:pt>
                <c:pt idx="124">
                  <c:v>8256733</c:v>
                </c:pt>
                <c:pt idx="125">
                  <c:v>14185298</c:v>
                </c:pt>
                <c:pt idx="126">
                  <c:v>15990899</c:v>
                </c:pt>
                <c:pt idx="127">
                  <c:v>13670465</c:v>
                </c:pt>
                <c:pt idx="128">
                  <c:v>12317124</c:v>
                </c:pt>
                <c:pt idx="129">
                  <c:v>21409935</c:v>
                </c:pt>
                <c:pt idx="130">
                  <c:v>13703918</c:v>
                </c:pt>
                <c:pt idx="131">
                  <c:v>9946718</c:v>
                </c:pt>
                <c:pt idx="132">
                  <c:v>16690068</c:v>
                </c:pt>
                <c:pt idx="133">
                  <c:v>14839890</c:v>
                </c:pt>
                <c:pt idx="134">
                  <c:v>13203184</c:v>
                </c:pt>
                <c:pt idx="135">
                  <c:v>12601006</c:v>
                </c:pt>
                <c:pt idx="136">
                  <c:v>8036215</c:v>
                </c:pt>
                <c:pt idx="137">
                  <c:v>9028406</c:v>
                </c:pt>
                <c:pt idx="138">
                  <c:v>7006629</c:v>
                </c:pt>
                <c:pt idx="139">
                  <c:v>17873926</c:v>
                </c:pt>
                <c:pt idx="140">
                  <c:v>18508835</c:v>
                </c:pt>
                <c:pt idx="141">
                  <c:v>20789182</c:v>
                </c:pt>
                <c:pt idx="142">
                  <c:v>13041075</c:v>
                </c:pt>
                <c:pt idx="143">
                  <c:v>10473123</c:v>
                </c:pt>
                <c:pt idx="144">
                  <c:v>8774988</c:v>
                </c:pt>
                <c:pt idx="145">
                  <c:v>13212523</c:v>
                </c:pt>
                <c:pt idx="146">
                  <c:v>12598933</c:v>
                </c:pt>
                <c:pt idx="147">
                  <c:v>13216486</c:v>
                </c:pt>
                <c:pt idx="148">
                  <c:v>14973380</c:v>
                </c:pt>
                <c:pt idx="149">
                  <c:v>30656239</c:v>
                </c:pt>
                <c:pt idx="150">
                  <c:v>21478547</c:v>
                </c:pt>
                <c:pt idx="151">
                  <c:v>431851622</c:v>
                </c:pt>
                <c:pt idx="152">
                  <c:v>26986022</c:v>
                </c:pt>
                <c:pt idx="153">
                  <c:v>13107662</c:v>
                </c:pt>
                <c:pt idx="154">
                  <c:v>18536884</c:v>
                </c:pt>
                <c:pt idx="155">
                  <c:v>19451749</c:v>
                </c:pt>
                <c:pt idx="156">
                  <c:v>5776672</c:v>
                </c:pt>
                <c:pt idx="157">
                  <c:v>9868414</c:v>
                </c:pt>
                <c:pt idx="158">
                  <c:v>7543854</c:v>
                </c:pt>
                <c:pt idx="159">
                  <c:v>16402035</c:v>
                </c:pt>
                <c:pt idx="160">
                  <c:v>24263510</c:v>
                </c:pt>
                <c:pt idx="161">
                  <c:v>9557309</c:v>
                </c:pt>
                <c:pt idx="162">
                  <c:v>14976369</c:v>
                </c:pt>
                <c:pt idx="163">
                  <c:v>8031891</c:v>
                </c:pt>
                <c:pt idx="164">
                  <c:v>8226512</c:v>
                </c:pt>
                <c:pt idx="165">
                  <c:v>19937960</c:v>
                </c:pt>
                <c:pt idx="166">
                  <c:v>9710361</c:v>
                </c:pt>
                <c:pt idx="167">
                  <c:v>15026568</c:v>
                </c:pt>
                <c:pt idx="168">
                  <c:v>11525305</c:v>
                </c:pt>
                <c:pt idx="169">
                  <c:v>12769461</c:v>
                </c:pt>
                <c:pt idx="170">
                  <c:v>10026546</c:v>
                </c:pt>
                <c:pt idx="171">
                  <c:v>11189930</c:v>
                </c:pt>
                <c:pt idx="172">
                  <c:v>6287095</c:v>
                </c:pt>
                <c:pt idx="173">
                  <c:v>22944377</c:v>
                </c:pt>
                <c:pt idx="174">
                  <c:v>26064089</c:v>
                </c:pt>
                <c:pt idx="175">
                  <c:v>19566317</c:v>
                </c:pt>
                <c:pt idx="176">
                  <c:v>32031936</c:v>
                </c:pt>
                <c:pt idx="177">
                  <c:v>27388236</c:v>
                </c:pt>
                <c:pt idx="178">
                  <c:v>22410217</c:v>
                </c:pt>
                <c:pt idx="179">
                  <c:v>13034594</c:v>
                </c:pt>
                <c:pt idx="180">
                  <c:v>11685880</c:v>
                </c:pt>
                <c:pt idx="181">
                  <c:v>8939356</c:v>
                </c:pt>
                <c:pt idx="182">
                  <c:v>21785572</c:v>
                </c:pt>
                <c:pt idx="183">
                  <c:v>18600796</c:v>
                </c:pt>
                <c:pt idx="184">
                  <c:v>26762866</c:v>
                </c:pt>
                <c:pt idx="185">
                  <c:v>18627592</c:v>
                </c:pt>
                <c:pt idx="186">
                  <c:v>7059566</c:v>
                </c:pt>
                <c:pt idx="187">
                  <c:v>8001323</c:v>
                </c:pt>
                <c:pt idx="188">
                  <c:v>15206240</c:v>
                </c:pt>
                <c:pt idx="189">
                  <c:v>12981873</c:v>
                </c:pt>
                <c:pt idx="190">
                  <c:v>18642328</c:v>
                </c:pt>
                <c:pt idx="191">
                  <c:v>13891436</c:v>
                </c:pt>
                <c:pt idx="192">
                  <c:v>20338110</c:v>
                </c:pt>
                <c:pt idx="193">
                  <c:v>14362572</c:v>
                </c:pt>
                <c:pt idx="194">
                  <c:v>25302035</c:v>
                </c:pt>
                <c:pt idx="195">
                  <c:v>16994037</c:v>
                </c:pt>
                <c:pt idx="196">
                  <c:v>12830387</c:v>
                </c:pt>
                <c:pt idx="197">
                  <c:v>13861897</c:v>
                </c:pt>
                <c:pt idx="198">
                  <c:v>5257859</c:v>
                </c:pt>
                <c:pt idx="199">
                  <c:v>8196569</c:v>
                </c:pt>
                <c:pt idx="200">
                  <c:v>13844306</c:v>
                </c:pt>
                <c:pt idx="201">
                  <c:v>11099475</c:v>
                </c:pt>
                <c:pt idx="202">
                  <c:v>9785018</c:v>
                </c:pt>
                <c:pt idx="203">
                  <c:v>11180761</c:v>
                </c:pt>
                <c:pt idx="204">
                  <c:v>17869996</c:v>
                </c:pt>
                <c:pt idx="205">
                  <c:v>15665018</c:v>
                </c:pt>
                <c:pt idx="206">
                  <c:v>13404774</c:v>
                </c:pt>
                <c:pt idx="207">
                  <c:v>10702826</c:v>
                </c:pt>
                <c:pt idx="208">
                  <c:v>31954776</c:v>
                </c:pt>
                <c:pt idx="209">
                  <c:v>19051003</c:v>
                </c:pt>
                <c:pt idx="210">
                  <c:v>15760891</c:v>
                </c:pt>
                <c:pt idx="211">
                  <c:v>7037625</c:v>
                </c:pt>
                <c:pt idx="212">
                  <c:v>8240986</c:v>
                </c:pt>
                <c:pt idx="213">
                  <c:v>15355585</c:v>
                </c:pt>
                <c:pt idx="214">
                  <c:v>7079032</c:v>
                </c:pt>
                <c:pt idx="215">
                  <c:v>12998403</c:v>
                </c:pt>
                <c:pt idx="216">
                  <c:v>11975265</c:v>
                </c:pt>
                <c:pt idx="217">
                  <c:v>14124236</c:v>
                </c:pt>
                <c:pt idx="218">
                  <c:v>12989029</c:v>
                </c:pt>
                <c:pt idx="219">
                  <c:v>13884574</c:v>
                </c:pt>
                <c:pt idx="220">
                  <c:v>14288751</c:v>
                </c:pt>
                <c:pt idx="221">
                  <c:v>12227140</c:v>
                </c:pt>
                <c:pt idx="222">
                  <c:v>18875982</c:v>
                </c:pt>
                <c:pt idx="223">
                  <c:v>17469129</c:v>
                </c:pt>
                <c:pt idx="224">
                  <c:v>12836283</c:v>
                </c:pt>
                <c:pt idx="225">
                  <c:v>18923681</c:v>
                </c:pt>
                <c:pt idx="226">
                  <c:v>16991730</c:v>
                </c:pt>
                <c:pt idx="227">
                  <c:v>30393007</c:v>
                </c:pt>
                <c:pt idx="228">
                  <c:v>13546181</c:v>
                </c:pt>
                <c:pt idx="229">
                  <c:v>22496695</c:v>
                </c:pt>
                <c:pt idx="230">
                  <c:v>15158510</c:v>
                </c:pt>
                <c:pt idx="231">
                  <c:v>20813072</c:v>
                </c:pt>
                <c:pt idx="232">
                  <c:v>10480203</c:v>
                </c:pt>
                <c:pt idx="233">
                  <c:v>9665384</c:v>
                </c:pt>
                <c:pt idx="234">
                  <c:v>8888248</c:v>
                </c:pt>
                <c:pt idx="235">
                  <c:v>9619648</c:v>
                </c:pt>
                <c:pt idx="236">
                  <c:v>15686500</c:v>
                </c:pt>
                <c:pt idx="237">
                  <c:v>8742771</c:v>
                </c:pt>
                <c:pt idx="238">
                  <c:v>11270061</c:v>
                </c:pt>
                <c:pt idx="239">
                  <c:v>15774070</c:v>
                </c:pt>
                <c:pt idx="240">
                  <c:v>9786805</c:v>
                </c:pt>
                <c:pt idx="241">
                  <c:v>18048459</c:v>
                </c:pt>
                <c:pt idx="242">
                  <c:v>17799607</c:v>
                </c:pt>
                <c:pt idx="243">
                  <c:v>9145729</c:v>
                </c:pt>
                <c:pt idx="244">
                  <c:v>19732649</c:v>
                </c:pt>
                <c:pt idx="245">
                  <c:v>13482926</c:v>
                </c:pt>
                <c:pt idx="246">
                  <c:v>14294780</c:v>
                </c:pt>
                <c:pt idx="247">
                  <c:v>22009958</c:v>
                </c:pt>
                <c:pt idx="248">
                  <c:v>37072992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A-46E3-8C02-C539A7136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39247"/>
        <c:axId val="134230607"/>
      </c:barChart>
      <c:dateAx>
        <c:axId val="134239247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0607"/>
        <c:crosses val="autoZero"/>
        <c:auto val="0"/>
        <c:lblOffset val="100"/>
        <c:baseTimeUnit val="days"/>
      </c:dateAx>
      <c:valAx>
        <c:axId val="13423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266701</xdr:colOff>
      <xdr:row>2</xdr:row>
      <xdr:rowOff>83141</xdr:rowOff>
    </xdr:from>
    <xdr:to>
      <xdr:col>1</xdr:col>
      <xdr:colOff>836640</xdr:colOff>
      <xdr:row>3</xdr:row>
      <xdr:rowOff>556260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283B8E-F793-C030-3349-C30AB2DE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1" y="494621"/>
          <a:ext cx="569939" cy="5797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68580</xdr:rowOff>
    </xdr:from>
    <xdr:to>
      <xdr:col>10</xdr:col>
      <xdr:colOff>853440</xdr:colOff>
      <xdr:row>15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1D7A34-BC7F-406D-A64A-B010C33AC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120806</xdr:colOff>
      <xdr:row>29</xdr:row>
      <xdr:rowOff>45720</xdr:rowOff>
    </xdr:from>
    <xdr:to>
      <xdr:col>10</xdr:col>
      <xdr:colOff>808463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03726-75CC-37BB-C135-69D6240FA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120805</xdr:colOff>
      <xdr:row>19</xdr:row>
      <xdr:rowOff>9294</xdr:rowOff>
    </xdr:from>
    <xdr:to>
      <xdr:col>11</xdr:col>
      <xdr:colOff>18586</xdr:colOff>
      <xdr:row>27</xdr:row>
      <xdr:rowOff>9293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18641-E3AE-4F73-8DDD-F8F27A592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F4BB-3681-44EB-B885-25BB497FC2A8}">
  <dimension ref="B2:C20"/>
  <sheetViews>
    <sheetView workbookViewId="0">
      <selection activeCell="C10" sqref="C10"/>
    </sheetView>
  </sheetViews>
  <sheetFormatPr defaultRowHeight="14.4"/>
  <cols>
    <col min="2" max="2" width="23" customWidth="1"/>
    <col min="3" max="3" width="98" customWidth="1"/>
  </cols>
  <sheetData>
    <row r="2" spans="2:3" ht="100.2" customHeight="1">
      <c r="B2" t="s">
        <v>93</v>
      </c>
      <c r="C2" s="25" t="s">
        <v>94</v>
      </c>
    </row>
    <row r="3" spans="2:3">
      <c r="C3" s="26"/>
    </row>
    <row r="4" spans="2:3">
      <c r="C4" s="26"/>
    </row>
    <row r="5" spans="2:3">
      <c r="C5" s="26"/>
    </row>
    <row r="6" spans="2:3">
      <c r="C6" s="26"/>
    </row>
    <row r="7" spans="2:3">
      <c r="C7" s="26"/>
    </row>
    <row r="8" spans="2:3">
      <c r="C8" s="26"/>
    </row>
    <row r="9" spans="2:3">
      <c r="C9" s="26"/>
    </row>
    <row r="10" spans="2:3">
      <c r="C10" s="26"/>
    </row>
    <row r="11" spans="2:3">
      <c r="C11" s="26"/>
    </row>
    <row r="12" spans="2:3">
      <c r="C12" s="26"/>
    </row>
    <row r="13" spans="2:3">
      <c r="C13" s="26"/>
    </row>
    <row r="14" spans="2:3">
      <c r="C14" s="26"/>
    </row>
    <row r="15" spans="2:3">
      <c r="C15" s="26"/>
    </row>
    <row r="16" spans="2:3">
      <c r="C16" s="26"/>
    </row>
    <row r="17" spans="3:3">
      <c r="C17" s="26"/>
    </row>
    <row r="18" spans="3:3">
      <c r="C18" s="26"/>
    </row>
    <row r="19" spans="3:3">
      <c r="C19" s="26"/>
    </row>
    <row r="20" spans="3:3">
      <c r="C2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6F6F-4773-4004-AE3D-35903ED56853}">
  <dimension ref="B2:F1244"/>
  <sheetViews>
    <sheetView workbookViewId="0">
      <selection activeCell="N16" sqref="N16"/>
    </sheetView>
  </sheetViews>
  <sheetFormatPr defaultRowHeight="14.4"/>
  <cols>
    <col min="2" max="2" width="17.5546875" customWidth="1"/>
    <col min="5" max="5" width="14.21875" customWidth="1"/>
    <col min="6" max="6" width="13.77734375" customWidth="1"/>
  </cols>
  <sheetData>
    <row r="2" spans="2:6">
      <c r="B2" s="62" t="s">
        <v>118</v>
      </c>
      <c r="C2" s="63"/>
    </row>
    <row r="3" spans="2:6">
      <c r="B3" s="38" t="s">
        <v>117</v>
      </c>
      <c r="C3" s="38" t="s">
        <v>116</v>
      </c>
      <c r="E3" t="s">
        <v>157</v>
      </c>
      <c r="F3" t="s">
        <v>158</v>
      </c>
    </row>
    <row r="4" spans="2:6">
      <c r="B4" s="37">
        <v>44200</v>
      </c>
      <c r="C4" s="36">
        <v>213.9</v>
      </c>
      <c r="E4" s="42">
        <v>46024</v>
      </c>
      <c r="F4">
        <v>118790358</v>
      </c>
    </row>
    <row r="5" spans="2:6">
      <c r="B5" s="37">
        <v>44201</v>
      </c>
      <c r="C5" s="36">
        <v>211.75</v>
      </c>
      <c r="E5" s="42">
        <v>46023</v>
      </c>
      <c r="F5">
        <v>282626710</v>
      </c>
    </row>
    <row r="6" spans="2:6">
      <c r="B6" s="37">
        <v>44202</v>
      </c>
      <c r="C6" s="36">
        <v>205.3</v>
      </c>
      <c r="E6" s="42">
        <v>46022</v>
      </c>
      <c r="F6">
        <v>9945109</v>
      </c>
    </row>
    <row r="7" spans="2:6">
      <c r="B7" s="37">
        <v>44203</v>
      </c>
      <c r="C7" s="36">
        <v>203.25</v>
      </c>
      <c r="E7" s="42">
        <v>46021</v>
      </c>
      <c r="F7">
        <v>12340527</v>
      </c>
    </row>
    <row r="8" spans="2:6">
      <c r="B8" s="37">
        <v>44204</v>
      </c>
      <c r="C8" s="36">
        <v>202.1</v>
      </c>
      <c r="E8" s="42">
        <v>46020</v>
      </c>
      <c r="F8">
        <v>6647710</v>
      </c>
    </row>
    <row r="9" spans="2:6">
      <c r="B9" s="37">
        <v>44207</v>
      </c>
      <c r="C9" s="36">
        <v>202.65</v>
      </c>
      <c r="E9" s="42">
        <v>46017</v>
      </c>
      <c r="F9">
        <v>3152453</v>
      </c>
    </row>
    <row r="10" spans="2:6">
      <c r="B10" s="37">
        <v>44208</v>
      </c>
      <c r="C10" s="36">
        <v>206.5</v>
      </c>
      <c r="E10" s="42">
        <v>46015</v>
      </c>
      <c r="F10">
        <v>5777430</v>
      </c>
    </row>
    <row r="11" spans="2:6">
      <c r="B11" s="37">
        <v>44209</v>
      </c>
      <c r="C11" s="36">
        <v>211.2</v>
      </c>
      <c r="E11" s="42">
        <v>46014</v>
      </c>
      <c r="F11">
        <v>10081997</v>
      </c>
    </row>
    <row r="12" spans="2:6">
      <c r="B12" s="37">
        <v>44210</v>
      </c>
      <c r="C12" s="36">
        <v>214.1</v>
      </c>
      <c r="E12" s="42">
        <v>46013</v>
      </c>
      <c r="F12">
        <v>6847871</v>
      </c>
    </row>
    <row r="13" spans="2:6">
      <c r="B13" s="37">
        <v>44211</v>
      </c>
      <c r="C13" s="36">
        <v>217.9</v>
      </c>
      <c r="E13" s="42">
        <v>46010</v>
      </c>
      <c r="F13">
        <v>10654835</v>
      </c>
    </row>
    <row r="14" spans="2:6">
      <c r="B14" s="37">
        <v>44214</v>
      </c>
      <c r="C14" s="36">
        <v>218.05</v>
      </c>
      <c r="E14" s="42">
        <v>46009</v>
      </c>
      <c r="F14">
        <v>7227668</v>
      </c>
    </row>
    <row r="15" spans="2:6">
      <c r="B15" s="37">
        <v>44215</v>
      </c>
      <c r="C15" s="36">
        <v>218.95</v>
      </c>
      <c r="E15" s="42">
        <v>46008</v>
      </c>
      <c r="F15">
        <v>8087490</v>
      </c>
    </row>
    <row r="16" spans="2:6">
      <c r="B16" s="37">
        <v>44216</v>
      </c>
      <c r="C16" s="36">
        <v>217.2</v>
      </c>
      <c r="E16" s="42">
        <v>46007</v>
      </c>
      <c r="F16">
        <v>12347384</v>
      </c>
    </row>
    <row r="17" spans="2:6">
      <c r="B17" s="37">
        <v>44217</v>
      </c>
      <c r="C17" s="36">
        <v>215.15</v>
      </c>
      <c r="E17" s="42">
        <v>46006</v>
      </c>
      <c r="F17">
        <v>7756564</v>
      </c>
    </row>
    <row r="18" spans="2:6">
      <c r="B18" s="37">
        <v>44218</v>
      </c>
      <c r="C18" s="36">
        <v>211.2</v>
      </c>
      <c r="E18" s="42">
        <v>46003</v>
      </c>
      <c r="F18">
        <v>12407516</v>
      </c>
    </row>
    <row r="19" spans="2:6">
      <c r="B19" s="37">
        <v>44221</v>
      </c>
      <c r="C19" s="36">
        <v>208.15</v>
      </c>
      <c r="E19" s="42">
        <v>46002</v>
      </c>
      <c r="F19">
        <v>6980147</v>
      </c>
    </row>
    <row r="20" spans="2:6">
      <c r="B20" s="37">
        <v>44223</v>
      </c>
      <c r="C20" s="36">
        <v>210.75</v>
      </c>
      <c r="E20" s="42">
        <v>46001</v>
      </c>
      <c r="F20">
        <v>6969146</v>
      </c>
    </row>
    <row r="21" spans="2:6">
      <c r="B21" s="37">
        <v>44224</v>
      </c>
      <c r="C21" s="36">
        <v>206.85</v>
      </c>
      <c r="E21" s="42">
        <v>46000</v>
      </c>
      <c r="F21">
        <v>9426717</v>
      </c>
    </row>
    <row r="22" spans="2:6">
      <c r="B22" s="37">
        <v>44225</v>
      </c>
      <c r="C22" s="36">
        <v>203.25</v>
      </c>
      <c r="E22" s="42">
        <v>45999</v>
      </c>
      <c r="F22">
        <v>6056866</v>
      </c>
    </row>
    <row r="23" spans="2:6">
      <c r="B23" s="37">
        <v>44228</v>
      </c>
      <c r="C23" s="36">
        <v>216.55</v>
      </c>
      <c r="E23" s="42">
        <v>45996</v>
      </c>
      <c r="F23">
        <v>4419747</v>
      </c>
    </row>
    <row r="24" spans="2:6">
      <c r="B24" s="37">
        <v>44229</v>
      </c>
      <c r="C24" s="36">
        <v>218.45</v>
      </c>
      <c r="E24" s="42">
        <v>45995</v>
      </c>
      <c r="F24">
        <v>8057989</v>
      </c>
    </row>
    <row r="25" spans="2:6">
      <c r="B25" s="37">
        <v>44230</v>
      </c>
      <c r="C25" s="36">
        <v>216.55</v>
      </c>
      <c r="E25" s="42">
        <v>45994</v>
      </c>
      <c r="F25">
        <v>10772192</v>
      </c>
    </row>
    <row r="26" spans="2:6">
      <c r="B26" s="37">
        <v>44231</v>
      </c>
      <c r="C26" s="36">
        <v>230.05</v>
      </c>
      <c r="E26" s="42">
        <v>45993</v>
      </c>
      <c r="F26">
        <v>8093808</v>
      </c>
    </row>
    <row r="27" spans="2:6">
      <c r="B27" s="37">
        <v>44232</v>
      </c>
      <c r="C27" s="36">
        <v>233.75</v>
      </c>
      <c r="E27" s="42">
        <v>45992</v>
      </c>
      <c r="F27">
        <v>13442658</v>
      </c>
    </row>
    <row r="28" spans="2:6">
      <c r="B28" s="37">
        <v>44235</v>
      </c>
      <c r="C28" s="36">
        <v>233.45</v>
      </c>
      <c r="E28" s="42">
        <v>45989</v>
      </c>
      <c r="F28">
        <v>6883500</v>
      </c>
    </row>
    <row r="29" spans="2:6">
      <c r="B29" s="37">
        <v>44236</v>
      </c>
      <c r="C29" s="36">
        <v>228.8</v>
      </c>
      <c r="E29" s="42">
        <v>45988</v>
      </c>
      <c r="F29">
        <v>8679529</v>
      </c>
    </row>
    <row r="30" spans="2:6">
      <c r="B30" s="37">
        <v>44237</v>
      </c>
      <c r="C30" s="36">
        <v>228.2</v>
      </c>
      <c r="E30" s="42">
        <v>45987</v>
      </c>
      <c r="F30">
        <v>11443953</v>
      </c>
    </row>
    <row r="31" spans="2:6">
      <c r="B31" s="37">
        <v>44238</v>
      </c>
      <c r="C31" s="36">
        <v>226.6</v>
      </c>
      <c r="E31" s="42">
        <v>45986</v>
      </c>
      <c r="F31">
        <v>8199785</v>
      </c>
    </row>
    <row r="32" spans="2:6">
      <c r="B32" s="37">
        <v>44239</v>
      </c>
      <c r="C32" s="36">
        <v>217.6</v>
      </c>
      <c r="E32" s="42">
        <v>45985</v>
      </c>
      <c r="F32">
        <v>11037491</v>
      </c>
    </row>
    <row r="33" spans="2:6">
      <c r="B33" s="37">
        <v>44242</v>
      </c>
      <c r="C33" s="36">
        <v>218.75</v>
      </c>
      <c r="E33" s="42">
        <v>45982</v>
      </c>
      <c r="F33">
        <v>5808131</v>
      </c>
    </row>
    <row r="34" spans="2:6">
      <c r="B34" s="37">
        <v>44243</v>
      </c>
      <c r="C34" s="36">
        <v>218.4</v>
      </c>
      <c r="E34" s="42">
        <v>45981</v>
      </c>
      <c r="F34">
        <v>6693410</v>
      </c>
    </row>
    <row r="35" spans="2:6">
      <c r="B35" s="37">
        <v>44244</v>
      </c>
      <c r="C35" s="36">
        <v>217.95</v>
      </c>
      <c r="E35" s="42">
        <v>45980</v>
      </c>
      <c r="F35">
        <v>7882450</v>
      </c>
    </row>
    <row r="36" spans="2:6">
      <c r="B36" s="37">
        <v>44245</v>
      </c>
      <c r="C36" s="36">
        <v>219.1</v>
      </c>
      <c r="E36" s="42">
        <v>45979</v>
      </c>
      <c r="F36">
        <v>7661681</v>
      </c>
    </row>
    <row r="37" spans="2:6">
      <c r="B37" s="37">
        <v>44246</v>
      </c>
      <c r="C37" s="36">
        <v>216.5</v>
      </c>
      <c r="E37" s="42">
        <v>45978</v>
      </c>
      <c r="F37">
        <v>7855399</v>
      </c>
    </row>
    <row r="38" spans="2:6">
      <c r="B38" s="37">
        <v>44249</v>
      </c>
      <c r="C38" s="36">
        <v>206.95</v>
      </c>
      <c r="E38" s="42">
        <v>45975</v>
      </c>
      <c r="F38">
        <v>64020258</v>
      </c>
    </row>
    <row r="39" spans="2:6">
      <c r="B39" s="37">
        <v>44250</v>
      </c>
      <c r="C39" s="36">
        <v>208.7</v>
      </c>
      <c r="E39" s="42">
        <v>45974</v>
      </c>
      <c r="F39">
        <v>6617185</v>
      </c>
    </row>
    <row r="40" spans="2:6">
      <c r="B40" s="37">
        <v>44251</v>
      </c>
      <c r="C40" s="36">
        <v>208.65</v>
      </c>
      <c r="E40" s="42">
        <v>45973</v>
      </c>
      <c r="F40">
        <v>7987236</v>
      </c>
    </row>
    <row r="41" spans="2:6">
      <c r="B41" s="37">
        <v>44252</v>
      </c>
      <c r="C41" s="36">
        <v>209.2</v>
      </c>
      <c r="E41" s="42">
        <v>45972</v>
      </c>
      <c r="F41">
        <v>12005318</v>
      </c>
    </row>
    <row r="42" spans="2:6">
      <c r="B42" s="37">
        <v>44253</v>
      </c>
      <c r="C42" s="36">
        <v>203.65</v>
      </c>
      <c r="E42" s="42">
        <v>45971</v>
      </c>
      <c r="F42">
        <v>6650003</v>
      </c>
    </row>
    <row r="43" spans="2:6">
      <c r="B43" s="37">
        <v>44256</v>
      </c>
      <c r="C43" s="36">
        <v>207</v>
      </c>
      <c r="E43" s="42">
        <v>45968</v>
      </c>
      <c r="F43">
        <v>8411611</v>
      </c>
    </row>
    <row r="44" spans="2:6">
      <c r="B44" s="37">
        <v>44257</v>
      </c>
      <c r="C44" s="36">
        <v>210</v>
      </c>
      <c r="E44" s="42">
        <v>45967</v>
      </c>
      <c r="F44">
        <v>10095563</v>
      </c>
    </row>
    <row r="45" spans="2:6">
      <c r="B45" s="37">
        <v>44258</v>
      </c>
      <c r="C45" s="36">
        <v>209.95</v>
      </c>
      <c r="E45" s="42">
        <v>45965</v>
      </c>
      <c r="F45">
        <v>10085404</v>
      </c>
    </row>
    <row r="46" spans="2:6">
      <c r="B46" s="37">
        <v>44259</v>
      </c>
      <c r="C46" s="36">
        <v>209.8</v>
      </c>
      <c r="E46" s="42">
        <v>45964</v>
      </c>
      <c r="F46">
        <v>7635440</v>
      </c>
    </row>
    <row r="47" spans="2:6">
      <c r="B47" s="37">
        <v>44260</v>
      </c>
      <c r="C47" s="36">
        <v>209.9</v>
      </c>
      <c r="E47" s="42">
        <v>45961</v>
      </c>
      <c r="F47">
        <v>18599864</v>
      </c>
    </row>
    <row r="48" spans="2:6">
      <c r="B48" s="37">
        <v>44263</v>
      </c>
      <c r="C48" s="36">
        <v>207.9</v>
      </c>
      <c r="E48" s="42">
        <v>45960</v>
      </c>
      <c r="F48">
        <v>12938674</v>
      </c>
    </row>
    <row r="49" spans="2:6">
      <c r="B49" s="37">
        <v>44264</v>
      </c>
      <c r="C49" s="36">
        <v>207.65</v>
      </c>
      <c r="E49" s="42">
        <v>45959</v>
      </c>
      <c r="F49">
        <v>11470661</v>
      </c>
    </row>
    <row r="50" spans="2:6">
      <c r="B50" s="37">
        <v>44265</v>
      </c>
      <c r="C50" s="36">
        <v>206.4</v>
      </c>
      <c r="E50" s="42">
        <v>45958</v>
      </c>
      <c r="F50">
        <v>17163147</v>
      </c>
    </row>
    <row r="51" spans="2:6">
      <c r="B51" s="37">
        <v>44267</v>
      </c>
      <c r="C51" s="36">
        <v>205.2</v>
      </c>
      <c r="E51" s="42">
        <v>45957</v>
      </c>
      <c r="F51">
        <v>11603679</v>
      </c>
    </row>
    <row r="52" spans="2:6">
      <c r="B52" s="37">
        <v>44270</v>
      </c>
      <c r="C52" s="36">
        <v>205.5</v>
      </c>
      <c r="E52" s="42">
        <v>45954</v>
      </c>
      <c r="F52">
        <v>14935678</v>
      </c>
    </row>
    <row r="53" spans="2:6">
      <c r="B53" s="37">
        <v>44271</v>
      </c>
      <c r="C53" s="36">
        <v>208.35</v>
      </c>
      <c r="E53" s="42">
        <v>45953</v>
      </c>
      <c r="F53">
        <v>24305990</v>
      </c>
    </row>
    <row r="54" spans="2:6">
      <c r="B54" s="37">
        <v>44272</v>
      </c>
      <c r="C54" s="36">
        <v>210.95</v>
      </c>
      <c r="E54" s="42">
        <v>45951</v>
      </c>
      <c r="F54">
        <v>1142130</v>
      </c>
    </row>
    <row r="55" spans="2:6">
      <c r="B55" s="37">
        <v>44273</v>
      </c>
      <c r="C55" s="36">
        <v>219</v>
      </c>
      <c r="E55" s="42">
        <v>45950</v>
      </c>
      <c r="F55">
        <v>13083621</v>
      </c>
    </row>
    <row r="56" spans="2:6">
      <c r="B56" s="37">
        <v>44274</v>
      </c>
      <c r="C56" s="36">
        <v>222.8</v>
      </c>
      <c r="E56" s="42">
        <v>45947</v>
      </c>
      <c r="F56">
        <v>21071344</v>
      </c>
    </row>
    <row r="57" spans="2:6">
      <c r="B57" s="37">
        <v>44277</v>
      </c>
      <c r="C57" s="36">
        <v>226</v>
      </c>
      <c r="E57" s="42">
        <v>45946</v>
      </c>
      <c r="F57">
        <v>22962049</v>
      </c>
    </row>
    <row r="58" spans="2:6">
      <c r="B58" s="37">
        <v>44278</v>
      </c>
      <c r="C58" s="36">
        <v>222.05</v>
      </c>
      <c r="E58" s="42">
        <v>45945</v>
      </c>
      <c r="F58">
        <v>16043867</v>
      </c>
    </row>
    <row r="59" spans="2:6">
      <c r="B59" s="37">
        <v>44279</v>
      </c>
      <c r="C59" s="36">
        <v>216.3</v>
      </c>
      <c r="E59" s="42">
        <v>45944</v>
      </c>
      <c r="F59">
        <v>10291102</v>
      </c>
    </row>
    <row r="60" spans="2:6">
      <c r="B60" s="37">
        <v>44280</v>
      </c>
      <c r="C60" s="36">
        <v>213.9</v>
      </c>
      <c r="E60" s="42">
        <v>45943</v>
      </c>
      <c r="F60">
        <v>9508594</v>
      </c>
    </row>
    <row r="61" spans="2:6">
      <c r="B61" s="37">
        <v>44281</v>
      </c>
      <c r="C61" s="36">
        <v>210.9</v>
      </c>
      <c r="E61" s="42">
        <v>45940</v>
      </c>
      <c r="F61">
        <v>15085738</v>
      </c>
    </row>
    <row r="62" spans="2:6">
      <c r="B62" s="37">
        <v>44285</v>
      </c>
      <c r="C62" s="36">
        <v>214.65</v>
      </c>
      <c r="E62" s="42">
        <v>45939</v>
      </c>
      <c r="F62">
        <v>15656267</v>
      </c>
    </row>
    <row r="63" spans="2:6">
      <c r="B63" s="37">
        <v>44286</v>
      </c>
      <c r="C63" s="36">
        <v>217.8</v>
      </c>
      <c r="E63" s="42">
        <v>45938</v>
      </c>
      <c r="F63">
        <v>8402463</v>
      </c>
    </row>
    <row r="64" spans="2:6">
      <c r="B64" s="37">
        <v>44287</v>
      </c>
      <c r="C64" s="36">
        <v>220.05</v>
      </c>
      <c r="E64" s="42">
        <v>45937</v>
      </c>
      <c r="F64">
        <v>12298968</v>
      </c>
    </row>
    <row r="65" spans="2:6">
      <c r="B65" s="37">
        <v>44291</v>
      </c>
      <c r="C65" s="36">
        <v>211.95</v>
      </c>
      <c r="E65" s="42">
        <v>45936</v>
      </c>
      <c r="F65">
        <v>13989077</v>
      </c>
    </row>
    <row r="66" spans="2:6">
      <c r="B66" s="37">
        <v>44292</v>
      </c>
      <c r="C66" s="36">
        <v>212.8</v>
      </c>
      <c r="E66" s="42">
        <v>45933</v>
      </c>
      <c r="F66">
        <v>16987141</v>
      </c>
    </row>
    <row r="67" spans="2:6">
      <c r="B67" s="37">
        <v>44293</v>
      </c>
      <c r="C67" s="36">
        <v>213.65</v>
      </c>
      <c r="E67" s="42">
        <v>45931</v>
      </c>
      <c r="F67">
        <v>17643039</v>
      </c>
    </row>
    <row r="68" spans="2:6">
      <c r="B68" s="37">
        <v>44294</v>
      </c>
      <c r="C68" s="36">
        <v>213.5</v>
      </c>
      <c r="E68" s="42">
        <v>45930</v>
      </c>
      <c r="F68">
        <v>9465490</v>
      </c>
    </row>
    <row r="69" spans="2:6">
      <c r="B69" s="37">
        <v>44295</v>
      </c>
      <c r="C69" s="36">
        <v>213.25</v>
      </c>
      <c r="E69" s="42">
        <v>45929</v>
      </c>
      <c r="F69">
        <v>19717660</v>
      </c>
    </row>
    <row r="70" spans="2:6">
      <c r="B70" s="37">
        <v>44298</v>
      </c>
      <c r="C70" s="36">
        <v>205.3</v>
      </c>
      <c r="E70" s="42">
        <v>45926</v>
      </c>
      <c r="F70">
        <v>14414044</v>
      </c>
    </row>
    <row r="71" spans="2:6">
      <c r="B71" s="37">
        <v>44299</v>
      </c>
      <c r="C71" s="36">
        <v>208.65</v>
      </c>
      <c r="E71" s="42">
        <v>45925</v>
      </c>
      <c r="F71">
        <v>22006368</v>
      </c>
    </row>
    <row r="72" spans="2:6">
      <c r="B72" s="37">
        <v>44301</v>
      </c>
      <c r="C72" s="36">
        <v>207.1</v>
      </c>
      <c r="E72" s="42">
        <v>45924</v>
      </c>
      <c r="F72">
        <v>12380865</v>
      </c>
    </row>
    <row r="73" spans="2:6">
      <c r="B73" s="37">
        <v>44302</v>
      </c>
      <c r="C73" s="36">
        <v>208</v>
      </c>
      <c r="E73" s="42">
        <v>45923</v>
      </c>
      <c r="F73">
        <v>14936357</v>
      </c>
    </row>
    <row r="74" spans="2:6">
      <c r="B74" s="37">
        <v>44305</v>
      </c>
      <c r="C74" s="36">
        <v>206</v>
      </c>
      <c r="E74" s="42">
        <v>45922</v>
      </c>
      <c r="F74">
        <v>8930779</v>
      </c>
    </row>
    <row r="75" spans="2:6">
      <c r="B75" s="37">
        <v>44306</v>
      </c>
      <c r="C75" s="36">
        <v>203.15</v>
      </c>
      <c r="E75" s="42">
        <v>45919</v>
      </c>
      <c r="F75">
        <v>19505321</v>
      </c>
    </row>
    <row r="76" spans="2:6">
      <c r="B76" s="37">
        <v>44308</v>
      </c>
      <c r="C76" s="36">
        <v>205.85</v>
      </c>
      <c r="E76" s="42">
        <v>45918</v>
      </c>
      <c r="F76">
        <v>15647808</v>
      </c>
    </row>
    <row r="77" spans="2:6">
      <c r="B77" s="37">
        <v>44309</v>
      </c>
      <c r="C77" s="36">
        <v>205.05</v>
      </c>
      <c r="E77" s="42">
        <v>45917</v>
      </c>
      <c r="F77">
        <v>14113882</v>
      </c>
    </row>
    <row r="78" spans="2:6">
      <c r="B78" s="37">
        <v>44312</v>
      </c>
      <c r="C78" s="36">
        <v>205.5</v>
      </c>
      <c r="E78" s="42">
        <v>45916</v>
      </c>
      <c r="F78">
        <v>8239087</v>
      </c>
    </row>
    <row r="79" spans="2:6">
      <c r="B79" s="37">
        <v>44313</v>
      </c>
      <c r="C79" s="36">
        <v>205.5</v>
      </c>
      <c r="E79" s="42">
        <v>45915</v>
      </c>
      <c r="F79">
        <v>5707331</v>
      </c>
    </row>
    <row r="80" spans="2:6">
      <c r="B80" s="37">
        <v>44314</v>
      </c>
      <c r="C80" s="36">
        <v>205.65</v>
      </c>
      <c r="E80" s="42">
        <v>45912</v>
      </c>
      <c r="F80">
        <v>7803379</v>
      </c>
    </row>
    <row r="81" spans="2:6">
      <c r="B81" s="37">
        <v>44315</v>
      </c>
      <c r="C81" s="36">
        <v>204.4</v>
      </c>
      <c r="E81" s="42">
        <v>45911</v>
      </c>
      <c r="F81">
        <v>8274406</v>
      </c>
    </row>
    <row r="82" spans="2:6">
      <c r="B82" s="37">
        <v>44316</v>
      </c>
      <c r="C82" s="36">
        <v>202.4</v>
      </c>
      <c r="E82" s="42">
        <v>45910</v>
      </c>
      <c r="F82">
        <v>9252397</v>
      </c>
    </row>
    <row r="83" spans="2:6">
      <c r="B83" s="37">
        <v>44319</v>
      </c>
      <c r="C83" s="36">
        <v>201.1</v>
      </c>
      <c r="E83" s="42">
        <v>45909</v>
      </c>
      <c r="F83">
        <v>8825896</v>
      </c>
    </row>
    <row r="84" spans="2:6">
      <c r="B84" s="37">
        <v>44320</v>
      </c>
      <c r="C84" s="36">
        <v>199.75</v>
      </c>
      <c r="E84" s="42">
        <v>45908</v>
      </c>
      <c r="F84">
        <v>7419022</v>
      </c>
    </row>
    <row r="85" spans="2:6">
      <c r="B85" s="37">
        <v>44321</v>
      </c>
      <c r="C85" s="36">
        <v>202</v>
      </c>
      <c r="E85" s="42">
        <v>45905</v>
      </c>
      <c r="F85">
        <v>16000675</v>
      </c>
    </row>
    <row r="86" spans="2:6">
      <c r="B86" s="37">
        <v>44322</v>
      </c>
      <c r="C86" s="36">
        <v>203</v>
      </c>
      <c r="E86" s="42">
        <v>45904</v>
      </c>
      <c r="F86">
        <v>27274123</v>
      </c>
    </row>
    <row r="87" spans="2:6">
      <c r="B87" s="37">
        <v>44323</v>
      </c>
      <c r="C87" s="36">
        <v>205.5</v>
      </c>
      <c r="E87" s="42">
        <v>45903</v>
      </c>
      <c r="F87">
        <v>12936588</v>
      </c>
    </row>
    <row r="88" spans="2:6">
      <c r="B88" s="37">
        <v>44326</v>
      </c>
      <c r="C88" s="36">
        <v>205.8</v>
      </c>
      <c r="E88" s="42">
        <v>45902</v>
      </c>
      <c r="F88">
        <v>19808255</v>
      </c>
    </row>
    <row r="89" spans="2:6">
      <c r="B89" s="37">
        <v>44327</v>
      </c>
      <c r="C89" s="36">
        <v>204.1</v>
      </c>
      <c r="E89" s="42">
        <v>45901</v>
      </c>
      <c r="F89">
        <v>12268090</v>
      </c>
    </row>
    <row r="90" spans="2:6">
      <c r="B90" s="37">
        <v>44328</v>
      </c>
      <c r="C90" s="36">
        <v>203.6</v>
      </c>
      <c r="E90" s="42">
        <v>45898</v>
      </c>
      <c r="F90">
        <v>25255050</v>
      </c>
    </row>
    <row r="91" spans="2:6">
      <c r="B91" s="37">
        <v>44330</v>
      </c>
      <c r="C91" s="36">
        <v>213.05</v>
      </c>
      <c r="E91" s="42">
        <v>45897</v>
      </c>
      <c r="F91">
        <v>12471719</v>
      </c>
    </row>
    <row r="92" spans="2:6">
      <c r="B92" s="37">
        <v>44333</v>
      </c>
      <c r="C92" s="36">
        <v>212.75</v>
      </c>
      <c r="E92" s="42">
        <v>45895</v>
      </c>
      <c r="F92">
        <v>13715752</v>
      </c>
    </row>
    <row r="93" spans="2:6">
      <c r="B93" s="37">
        <v>44334</v>
      </c>
      <c r="C93" s="36">
        <v>210.2</v>
      </c>
      <c r="E93" s="42">
        <v>45894</v>
      </c>
      <c r="F93">
        <v>10440286</v>
      </c>
    </row>
    <row r="94" spans="2:6">
      <c r="B94" s="37">
        <v>44335</v>
      </c>
      <c r="C94" s="36">
        <v>207.85</v>
      </c>
      <c r="E94" s="42">
        <v>45891</v>
      </c>
      <c r="F94">
        <v>13087624</v>
      </c>
    </row>
    <row r="95" spans="2:6">
      <c r="B95" s="37">
        <v>44336</v>
      </c>
      <c r="C95" s="36">
        <v>207.1</v>
      </c>
      <c r="E95" s="42">
        <v>45890</v>
      </c>
      <c r="F95">
        <v>15028966</v>
      </c>
    </row>
    <row r="96" spans="2:6">
      <c r="B96" s="37">
        <v>44337</v>
      </c>
      <c r="C96" s="36">
        <v>209.05</v>
      </c>
      <c r="E96" s="42">
        <v>45889</v>
      </c>
      <c r="F96">
        <v>18188129</v>
      </c>
    </row>
    <row r="97" spans="2:6">
      <c r="B97" s="37">
        <v>44340</v>
      </c>
      <c r="C97" s="36">
        <v>211.55</v>
      </c>
      <c r="E97" s="42">
        <v>45888</v>
      </c>
      <c r="F97">
        <v>16681331</v>
      </c>
    </row>
    <row r="98" spans="2:6">
      <c r="B98" s="37">
        <v>44341</v>
      </c>
      <c r="C98" s="36">
        <v>211.05</v>
      </c>
      <c r="E98" s="42">
        <v>45887</v>
      </c>
      <c r="F98">
        <v>30950814</v>
      </c>
    </row>
    <row r="99" spans="2:6">
      <c r="B99" s="37">
        <v>44342</v>
      </c>
      <c r="C99" s="36">
        <v>210.9</v>
      </c>
      <c r="E99" s="42">
        <v>45883</v>
      </c>
      <c r="F99">
        <v>9580361</v>
      </c>
    </row>
    <row r="100" spans="2:6">
      <c r="B100" s="37">
        <v>44343</v>
      </c>
      <c r="C100" s="36">
        <v>211.2</v>
      </c>
      <c r="E100" s="42">
        <v>45882</v>
      </c>
      <c r="F100">
        <v>10874910</v>
      </c>
    </row>
    <row r="101" spans="2:6">
      <c r="B101" s="37">
        <v>44344</v>
      </c>
      <c r="C101" s="36">
        <v>212.9</v>
      </c>
      <c r="E101" s="42">
        <v>45881</v>
      </c>
      <c r="F101">
        <v>13635738</v>
      </c>
    </row>
    <row r="102" spans="2:6">
      <c r="B102" s="37">
        <v>44347</v>
      </c>
      <c r="C102" s="36">
        <v>217</v>
      </c>
      <c r="E102" s="42">
        <v>45880</v>
      </c>
      <c r="F102">
        <v>8514272</v>
      </c>
    </row>
    <row r="103" spans="2:6">
      <c r="B103" s="37">
        <v>44348</v>
      </c>
      <c r="C103" s="36">
        <v>215.9</v>
      </c>
      <c r="E103" s="42">
        <v>45877</v>
      </c>
      <c r="F103">
        <v>9814361</v>
      </c>
    </row>
    <row r="104" spans="2:6">
      <c r="B104" s="37">
        <v>44349</v>
      </c>
      <c r="C104" s="36">
        <v>209.05</v>
      </c>
      <c r="E104" s="42">
        <v>45876</v>
      </c>
      <c r="F104">
        <v>11514878</v>
      </c>
    </row>
    <row r="105" spans="2:6">
      <c r="B105" s="37">
        <v>44350</v>
      </c>
      <c r="C105" s="36">
        <v>209.1</v>
      </c>
      <c r="E105" s="42">
        <v>45875</v>
      </c>
      <c r="F105">
        <v>9080543</v>
      </c>
    </row>
    <row r="106" spans="2:6">
      <c r="B106" s="37">
        <v>44351</v>
      </c>
      <c r="C106" s="36">
        <v>209.55</v>
      </c>
      <c r="E106" s="42">
        <v>45874</v>
      </c>
      <c r="F106">
        <v>8495104</v>
      </c>
    </row>
    <row r="107" spans="2:6">
      <c r="B107" s="37">
        <v>44354</v>
      </c>
      <c r="C107" s="36">
        <v>211.75</v>
      </c>
      <c r="E107" s="42">
        <v>45873</v>
      </c>
      <c r="F107">
        <v>18352458</v>
      </c>
    </row>
    <row r="108" spans="2:6">
      <c r="B108" s="37">
        <v>44355</v>
      </c>
      <c r="C108" s="36">
        <v>213.8</v>
      </c>
      <c r="E108" s="42">
        <v>45870</v>
      </c>
      <c r="F108">
        <v>14324065</v>
      </c>
    </row>
    <row r="109" spans="2:6">
      <c r="B109" s="37">
        <v>44356</v>
      </c>
      <c r="C109" s="36">
        <v>212.55</v>
      </c>
      <c r="E109" s="42">
        <v>45869</v>
      </c>
      <c r="F109">
        <v>19364174</v>
      </c>
    </row>
    <row r="110" spans="2:6">
      <c r="B110" s="37">
        <v>44357</v>
      </c>
      <c r="C110" s="36">
        <v>209.75</v>
      </c>
      <c r="E110" s="42">
        <v>45868</v>
      </c>
      <c r="F110">
        <v>10915863</v>
      </c>
    </row>
    <row r="111" spans="2:6">
      <c r="B111" s="37">
        <v>44358</v>
      </c>
      <c r="C111" s="36">
        <v>208</v>
      </c>
      <c r="E111" s="42">
        <v>45867</v>
      </c>
      <c r="F111">
        <v>6811772</v>
      </c>
    </row>
    <row r="112" spans="2:6">
      <c r="B112" s="37">
        <v>44361</v>
      </c>
      <c r="C112" s="36">
        <v>207.55</v>
      </c>
      <c r="E112" s="42">
        <v>45866</v>
      </c>
      <c r="F112">
        <v>8123337</v>
      </c>
    </row>
    <row r="113" spans="2:6">
      <c r="B113" s="37">
        <v>44362</v>
      </c>
      <c r="C113" s="36">
        <v>207.1</v>
      </c>
      <c r="E113" s="42">
        <v>45863</v>
      </c>
      <c r="F113">
        <v>5824089</v>
      </c>
    </row>
    <row r="114" spans="2:6">
      <c r="B114" s="37">
        <v>44363</v>
      </c>
      <c r="C114" s="36">
        <v>207.45</v>
      </c>
      <c r="E114" s="42">
        <v>45862</v>
      </c>
      <c r="F114">
        <v>9005157</v>
      </c>
    </row>
    <row r="115" spans="2:6">
      <c r="B115" s="37">
        <v>44364</v>
      </c>
      <c r="C115" s="36">
        <v>205.5</v>
      </c>
      <c r="E115" s="42">
        <v>45861</v>
      </c>
      <c r="F115">
        <v>12196187</v>
      </c>
    </row>
    <row r="116" spans="2:6">
      <c r="B116" s="37">
        <v>44365</v>
      </c>
      <c r="C116" s="36">
        <v>204.85</v>
      </c>
      <c r="E116" s="42">
        <v>45860</v>
      </c>
      <c r="F116">
        <v>9869507</v>
      </c>
    </row>
    <row r="117" spans="2:6">
      <c r="B117" s="37">
        <v>44368</v>
      </c>
      <c r="C117" s="36">
        <v>204.7</v>
      </c>
      <c r="E117" s="42">
        <v>45859</v>
      </c>
      <c r="F117">
        <v>4822343</v>
      </c>
    </row>
    <row r="118" spans="2:6">
      <c r="B118" s="37">
        <v>44369</v>
      </c>
      <c r="C118" s="36">
        <v>205.2</v>
      </c>
      <c r="E118" s="42">
        <v>45856</v>
      </c>
      <c r="F118">
        <v>6730256</v>
      </c>
    </row>
    <row r="119" spans="2:6">
      <c r="B119" s="37">
        <v>44370</v>
      </c>
      <c r="C119" s="36">
        <v>204.05</v>
      </c>
      <c r="E119" s="42">
        <v>45855</v>
      </c>
      <c r="F119">
        <v>7240795</v>
      </c>
    </row>
    <row r="120" spans="2:6">
      <c r="B120" s="37">
        <v>44371</v>
      </c>
      <c r="C120" s="36">
        <v>203.95</v>
      </c>
      <c r="E120" s="42">
        <v>45854</v>
      </c>
      <c r="F120">
        <v>9780773</v>
      </c>
    </row>
    <row r="121" spans="2:6">
      <c r="B121" s="37">
        <v>44372</v>
      </c>
      <c r="C121" s="36">
        <v>205</v>
      </c>
      <c r="E121" s="42">
        <v>45853</v>
      </c>
      <c r="F121">
        <v>8532755</v>
      </c>
    </row>
    <row r="122" spans="2:6">
      <c r="B122" s="37">
        <v>44375</v>
      </c>
      <c r="C122" s="36">
        <v>203.7</v>
      </c>
      <c r="E122" s="42">
        <v>45852</v>
      </c>
      <c r="F122">
        <v>6896989</v>
      </c>
    </row>
    <row r="123" spans="2:6">
      <c r="B123" s="37">
        <v>44376</v>
      </c>
      <c r="C123" s="36">
        <v>203.25</v>
      </c>
      <c r="E123" s="42">
        <v>45849</v>
      </c>
      <c r="F123">
        <v>8578844</v>
      </c>
    </row>
    <row r="124" spans="2:6">
      <c r="B124" s="37">
        <v>44377</v>
      </c>
      <c r="C124" s="36">
        <v>202.7</v>
      </c>
      <c r="E124" s="42">
        <v>45848</v>
      </c>
      <c r="F124">
        <v>6220360</v>
      </c>
    </row>
    <row r="125" spans="2:6">
      <c r="B125" s="37">
        <v>44378</v>
      </c>
      <c r="C125" s="36">
        <v>203.1</v>
      </c>
      <c r="E125" s="42">
        <v>45847</v>
      </c>
      <c r="F125">
        <v>9930533</v>
      </c>
    </row>
    <row r="126" spans="2:6">
      <c r="B126" s="37">
        <v>44379</v>
      </c>
      <c r="C126" s="36">
        <v>202.45</v>
      </c>
      <c r="E126" s="42">
        <v>45846</v>
      </c>
      <c r="F126">
        <v>6807192</v>
      </c>
    </row>
    <row r="127" spans="2:6">
      <c r="B127" s="37">
        <v>44382</v>
      </c>
      <c r="C127" s="36">
        <v>203.65</v>
      </c>
      <c r="E127" s="42">
        <v>45845</v>
      </c>
      <c r="F127">
        <v>6845218</v>
      </c>
    </row>
    <row r="128" spans="2:6">
      <c r="B128" s="37">
        <v>44383</v>
      </c>
      <c r="C128" s="36">
        <v>202.6</v>
      </c>
      <c r="E128" s="42">
        <v>45842</v>
      </c>
      <c r="F128">
        <v>8256733</v>
      </c>
    </row>
    <row r="129" spans="2:6">
      <c r="B129" s="37">
        <v>44384</v>
      </c>
      <c r="C129" s="36">
        <v>203.9</v>
      </c>
      <c r="E129" s="42">
        <v>45841</v>
      </c>
      <c r="F129">
        <v>14185298</v>
      </c>
    </row>
    <row r="130" spans="2:6">
      <c r="B130" s="37">
        <v>44385</v>
      </c>
      <c r="C130" s="36">
        <v>202.05</v>
      </c>
      <c r="E130" s="42">
        <v>45840</v>
      </c>
      <c r="F130">
        <v>15990899</v>
      </c>
    </row>
    <row r="131" spans="2:6">
      <c r="B131" s="37">
        <v>44386</v>
      </c>
      <c r="C131" s="36">
        <v>201.45</v>
      </c>
      <c r="E131" s="42">
        <v>45839</v>
      </c>
      <c r="F131">
        <v>13670465</v>
      </c>
    </row>
    <row r="132" spans="2:6">
      <c r="B132" s="37">
        <v>44389</v>
      </c>
      <c r="C132" s="36">
        <v>201.1</v>
      </c>
      <c r="E132" s="42">
        <v>45838</v>
      </c>
      <c r="F132">
        <v>12317124</v>
      </c>
    </row>
    <row r="133" spans="2:6">
      <c r="B133" s="37">
        <v>44390</v>
      </c>
      <c r="C133" s="36">
        <v>202.05</v>
      </c>
      <c r="E133" s="42">
        <v>45835</v>
      </c>
      <c r="F133">
        <v>21409935</v>
      </c>
    </row>
    <row r="134" spans="2:6">
      <c r="B134" s="37">
        <v>44391</v>
      </c>
      <c r="C134" s="36">
        <v>203.95</v>
      </c>
      <c r="E134" s="42">
        <v>45834</v>
      </c>
      <c r="F134">
        <v>13703918</v>
      </c>
    </row>
    <row r="135" spans="2:6">
      <c r="B135" s="37">
        <v>44392</v>
      </c>
      <c r="C135" s="36">
        <v>206.4</v>
      </c>
      <c r="E135" s="42">
        <v>45833</v>
      </c>
      <c r="F135">
        <v>9946718</v>
      </c>
    </row>
    <row r="136" spans="2:6">
      <c r="B136" s="37">
        <v>44393</v>
      </c>
      <c r="C136" s="36">
        <v>207.85</v>
      </c>
      <c r="E136" s="42">
        <v>45832</v>
      </c>
      <c r="F136">
        <v>16690068</v>
      </c>
    </row>
    <row r="137" spans="2:6">
      <c r="B137" s="37">
        <v>44396</v>
      </c>
      <c r="C137" s="36">
        <v>208</v>
      </c>
      <c r="E137" s="42">
        <v>45831</v>
      </c>
      <c r="F137">
        <v>14839890</v>
      </c>
    </row>
    <row r="138" spans="2:6">
      <c r="B138" s="37">
        <v>44397</v>
      </c>
      <c r="C138" s="36">
        <v>206.6</v>
      </c>
      <c r="E138" s="42">
        <v>45828</v>
      </c>
      <c r="F138">
        <v>13203184</v>
      </c>
    </row>
    <row r="139" spans="2:6">
      <c r="B139" s="37">
        <v>44399</v>
      </c>
      <c r="C139" s="36">
        <v>207</v>
      </c>
      <c r="E139" s="42">
        <v>45827</v>
      </c>
      <c r="F139">
        <v>12601006</v>
      </c>
    </row>
    <row r="140" spans="2:6">
      <c r="B140" s="37">
        <v>44400</v>
      </c>
      <c r="C140" s="36">
        <v>212.45</v>
      </c>
      <c r="E140" s="42">
        <v>45826</v>
      </c>
      <c r="F140">
        <v>8036215</v>
      </c>
    </row>
    <row r="141" spans="2:6">
      <c r="B141" s="37">
        <v>44403</v>
      </c>
      <c r="C141" s="36">
        <v>211.05</v>
      </c>
      <c r="E141" s="42">
        <v>45825</v>
      </c>
      <c r="F141">
        <v>9028406</v>
      </c>
    </row>
    <row r="142" spans="2:6">
      <c r="B142" s="37">
        <v>44404</v>
      </c>
      <c r="C142" s="36">
        <v>208.8</v>
      </c>
      <c r="E142" s="42">
        <v>45824</v>
      </c>
      <c r="F142">
        <v>7006629</v>
      </c>
    </row>
    <row r="143" spans="2:6">
      <c r="B143" s="37">
        <v>44405</v>
      </c>
      <c r="C143" s="36">
        <v>209.2</v>
      </c>
      <c r="E143" s="42">
        <v>45821</v>
      </c>
      <c r="F143">
        <v>17873926</v>
      </c>
    </row>
    <row r="144" spans="2:6">
      <c r="B144" s="37">
        <v>44406</v>
      </c>
      <c r="C144" s="36">
        <v>206</v>
      </c>
      <c r="E144" s="42">
        <v>45820</v>
      </c>
      <c r="F144">
        <v>18508835</v>
      </c>
    </row>
    <row r="145" spans="2:6">
      <c r="B145" s="37">
        <v>44407</v>
      </c>
      <c r="C145" s="36">
        <v>205.05</v>
      </c>
      <c r="E145" s="42">
        <v>45819</v>
      </c>
      <c r="F145">
        <v>20789182</v>
      </c>
    </row>
    <row r="146" spans="2:6">
      <c r="B146" s="37">
        <v>44410</v>
      </c>
      <c r="C146" s="36">
        <v>207.2</v>
      </c>
      <c r="E146" s="42">
        <v>45818</v>
      </c>
      <c r="F146">
        <v>13041075</v>
      </c>
    </row>
    <row r="147" spans="2:6">
      <c r="B147" s="37">
        <v>44411</v>
      </c>
      <c r="C147" s="36">
        <v>209.75</v>
      </c>
      <c r="E147" s="42">
        <v>45817</v>
      </c>
      <c r="F147">
        <v>10473123</v>
      </c>
    </row>
    <row r="148" spans="2:6">
      <c r="B148" s="37">
        <v>44412</v>
      </c>
      <c r="C148" s="36">
        <v>208.65</v>
      </c>
      <c r="E148" s="42">
        <v>45814</v>
      </c>
      <c r="F148">
        <v>8774988</v>
      </c>
    </row>
    <row r="149" spans="2:6">
      <c r="B149" s="37">
        <v>44413</v>
      </c>
      <c r="C149" s="36">
        <v>215</v>
      </c>
      <c r="E149" s="42">
        <v>45813</v>
      </c>
      <c r="F149">
        <v>13212523</v>
      </c>
    </row>
    <row r="150" spans="2:6">
      <c r="B150" s="37">
        <v>44414</v>
      </c>
      <c r="C150" s="36">
        <v>214.6</v>
      </c>
      <c r="E150" s="42">
        <v>45812</v>
      </c>
      <c r="F150">
        <v>12598933</v>
      </c>
    </row>
    <row r="151" spans="2:6">
      <c r="B151" s="37">
        <v>44417</v>
      </c>
      <c r="C151" s="36">
        <v>213.7</v>
      </c>
      <c r="E151" s="42">
        <v>45811</v>
      </c>
      <c r="F151">
        <v>13216486</v>
      </c>
    </row>
    <row r="152" spans="2:6">
      <c r="B152" s="37">
        <v>44418</v>
      </c>
      <c r="C152" s="36">
        <v>210</v>
      </c>
      <c r="E152" s="42">
        <v>45810</v>
      </c>
      <c r="F152">
        <v>14973380</v>
      </c>
    </row>
    <row r="153" spans="2:6">
      <c r="B153" s="37">
        <v>44419</v>
      </c>
      <c r="C153" s="36">
        <v>208.7</v>
      </c>
      <c r="E153" s="42">
        <v>45807</v>
      </c>
      <c r="F153">
        <v>30656239</v>
      </c>
    </row>
    <row r="154" spans="2:6">
      <c r="B154" s="37">
        <v>44420</v>
      </c>
      <c r="C154" s="36">
        <v>208.9</v>
      </c>
      <c r="E154" s="42">
        <v>45806</v>
      </c>
      <c r="F154">
        <v>21478547</v>
      </c>
    </row>
    <row r="155" spans="2:6">
      <c r="B155" s="37">
        <v>44421</v>
      </c>
      <c r="C155" s="36">
        <v>211.35</v>
      </c>
      <c r="E155" s="42">
        <v>45805</v>
      </c>
      <c r="F155">
        <v>431851622</v>
      </c>
    </row>
    <row r="156" spans="2:6">
      <c r="B156" s="37">
        <v>44424</v>
      </c>
      <c r="C156" s="36">
        <v>211</v>
      </c>
      <c r="E156" s="42">
        <v>45804</v>
      </c>
      <c r="F156">
        <v>26986022</v>
      </c>
    </row>
    <row r="157" spans="2:6">
      <c r="B157" s="37">
        <v>44425</v>
      </c>
      <c r="C157" s="36">
        <v>208.95</v>
      </c>
      <c r="E157" s="42">
        <v>45803</v>
      </c>
      <c r="F157">
        <v>13107662</v>
      </c>
    </row>
    <row r="158" spans="2:6">
      <c r="B158" s="37">
        <v>44426</v>
      </c>
      <c r="C158" s="36">
        <v>209.3</v>
      </c>
      <c r="E158" s="42">
        <v>45800</v>
      </c>
      <c r="F158">
        <v>18536884</v>
      </c>
    </row>
    <row r="159" spans="2:6">
      <c r="B159" s="37">
        <v>44428</v>
      </c>
      <c r="C159" s="36">
        <v>208.4</v>
      </c>
      <c r="E159" s="42">
        <v>45799</v>
      </c>
      <c r="F159">
        <v>19451749</v>
      </c>
    </row>
    <row r="160" spans="2:6">
      <c r="B160" s="37">
        <v>44431</v>
      </c>
      <c r="C160" s="36">
        <v>206.2</v>
      </c>
      <c r="E160" s="42">
        <v>45798</v>
      </c>
      <c r="F160">
        <v>5776672</v>
      </c>
    </row>
    <row r="161" spans="2:6">
      <c r="B161" s="37">
        <v>44432</v>
      </c>
      <c r="C161" s="36">
        <v>205.75</v>
      </c>
      <c r="E161" s="42">
        <v>45797</v>
      </c>
      <c r="F161">
        <v>9868414</v>
      </c>
    </row>
    <row r="162" spans="2:6">
      <c r="B162" s="37">
        <v>44433</v>
      </c>
      <c r="C162" s="36">
        <v>206.3</v>
      </c>
      <c r="E162" s="42">
        <v>45796</v>
      </c>
      <c r="F162">
        <v>7543854</v>
      </c>
    </row>
    <row r="163" spans="2:6">
      <c r="B163" s="37">
        <v>44434</v>
      </c>
      <c r="C163" s="36">
        <v>204.85</v>
      </c>
      <c r="E163" s="42">
        <v>45793</v>
      </c>
      <c r="F163">
        <v>16402035</v>
      </c>
    </row>
    <row r="164" spans="2:6">
      <c r="B164" s="37">
        <v>44435</v>
      </c>
      <c r="C164" s="36">
        <v>206.05</v>
      </c>
      <c r="E164" s="42">
        <v>45792</v>
      </c>
      <c r="F164">
        <v>24263510</v>
      </c>
    </row>
    <row r="165" spans="2:6">
      <c r="B165" s="37">
        <v>44438</v>
      </c>
      <c r="C165" s="36">
        <v>208.05</v>
      </c>
      <c r="E165" s="42">
        <v>45791</v>
      </c>
      <c r="F165">
        <v>9557309</v>
      </c>
    </row>
    <row r="166" spans="2:6">
      <c r="B166" s="37">
        <v>44439</v>
      </c>
      <c r="C166" s="36">
        <v>211</v>
      </c>
      <c r="E166" s="42">
        <v>45790</v>
      </c>
      <c r="F166">
        <v>14976369</v>
      </c>
    </row>
    <row r="167" spans="2:6">
      <c r="B167" s="37">
        <v>44440</v>
      </c>
      <c r="C167" s="36">
        <v>209.55</v>
      </c>
      <c r="E167" s="42">
        <v>45789</v>
      </c>
      <c r="F167">
        <v>8031891</v>
      </c>
    </row>
    <row r="168" spans="2:6">
      <c r="B168" s="37">
        <v>44441</v>
      </c>
      <c r="C168" s="36">
        <v>209.75</v>
      </c>
      <c r="E168" s="42">
        <v>45786</v>
      </c>
      <c r="F168">
        <v>8226512</v>
      </c>
    </row>
    <row r="169" spans="2:6">
      <c r="B169" s="37">
        <v>44442</v>
      </c>
      <c r="C169" s="36">
        <v>210.45</v>
      </c>
      <c r="E169" s="42">
        <v>45785</v>
      </c>
      <c r="F169">
        <v>19937960</v>
      </c>
    </row>
    <row r="170" spans="2:6">
      <c r="B170" s="37">
        <v>44445</v>
      </c>
      <c r="C170" s="36">
        <v>209.05</v>
      </c>
      <c r="E170" s="42">
        <v>45784</v>
      </c>
      <c r="F170">
        <v>9710361</v>
      </c>
    </row>
    <row r="171" spans="2:6">
      <c r="B171" s="37">
        <v>44446</v>
      </c>
      <c r="C171" s="36">
        <v>211.85</v>
      </c>
      <c r="E171" s="42">
        <v>45783</v>
      </c>
      <c r="F171">
        <v>15026568</v>
      </c>
    </row>
    <row r="172" spans="2:6">
      <c r="B172" s="37">
        <v>44447</v>
      </c>
      <c r="C172" s="36">
        <v>211.05</v>
      </c>
      <c r="E172" s="42">
        <v>45782</v>
      </c>
      <c r="F172">
        <v>11525305</v>
      </c>
    </row>
    <row r="173" spans="2:6">
      <c r="B173" s="37">
        <v>44448</v>
      </c>
      <c r="C173" s="36">
        <v>212.95</v>
      </c>
      <c r="E173" s="42">
        <v>45779</v>
      </c>
      <c r="F173">
        <v>12769461</v>
      </c>
    </row>
    <row r="174" spans="2:6">
      <c r="B174" s="37">
        <v>44452</v>
      </c>
      <c r="C174" s="36">
        <v>213.9</v>
      </c>
      <c r="E174" s="42">
        <v>45777</v>
      </c>
      <c r="F174">
        <v>10026546</v>
      </c>
    </row>
    <row r="175" spans="2:6">
      <c r="B175" s="37">
        <v>44453</v>
      </c>
      <c r="C175" s="36">
        <v>216.75</v>
      </c>
      <c r="E175" s="42">
        <v>45776</v>
      </c>
      <c r="F175">
        <v>11189930</v>
      </c>
    </row>
    <row r="176" spans="2:6">
      <c r="B176" s="37">
        <v>44454</v>
      </c>
      <c r="C176" s="36">
        <v>215.7</v>
      </c>
      <c r="E176" s="42">
        <v>45775</v>
      </c>
      <c r="F176">
        <v>6287095</v>
      </c>
    </row>
    <row r="177" spans="2:6">
      <c r="B177" s="37">
        <v>44455</v>
      </c>
      <c r="C177" s="36">
        <v>230.3</v>
      </c>
      <c r="E177" s="42">
        <v>45772</v>
      </c>
      <c r="F177">
        <v>22944377</v>
      </c>
    </row>
    <row r="178" spans="2:6">
      <c r="B178" s="37">
        <v>44456</v>
      </c>
      <c r="C178" s="36">
        <v>231.5</v>
      </c>
      <c r="E178" s="42">
        <v>45771</v>
      </c>
      <c r="F178">
        <v>26064089</v>
      </c>
    </row>
    <row r="179" spans="2:6">
      <c r="B179" s="37">
        <v>44459</v>
      </c>
      <c r="C179" s="36">
        <v>232.95</v>
      </c>
      <c r="E179" s="42">
        <v>45770</v>
      </c>
      <c r="F179">
        <v>19566317</v>
      </c>
    </row>
    <row r="180" spans="2:6">
      <c r="B180" s="37">
        <v>44460</v>
      </c>
      <c r="C180" s="36">
        <v>241.55</v>
      </c>
      <c r="E180" s="42">
        <v>45769</v>
      </c>
      <c r="F180">
        <v>32031936</v>
      </c>
    </row>
    <row r="181" spans="2:6">
      <c r="B181" s="37">
        <v>44461</v>
      </c>
      <c r="C181" s="36">
        <v>243</v>
      </c>
      <c r="E181" s="42">
        <v>45768</v>
      </c>
      <c r="F181">
        <v>27388236</v>
      </c>
    </row>
    <row r="182" spans="2:6">
      <c r="B182" s="37">
        <v>44462</v>
      </c>
      <c r="C182" s="36">
        <v>242.35</v>
      </c>
      <c r="E182" s="42">
        <v>45764</v>
      </c>
      <c r="F182">
        <v>22410217</v>
      </c>
    </row>
    <row r="183" spans="2:6">
      <c r="B183" s="37">
        <v>44463</v>
      </c>
      <c r="C183" s="36">
        <v>238.2</v>
      </c>
      <c r="E183" s="42">
        <v>45763</v>
      </c>
      <c r="F183">
        <v>13034594</v>
      </c>
    </row>
    <row r="184" spans="2:6">
      <c r="B184" s="37">
        <v>44466</v>
      </c>
      <c r="C184" s="36">
        <v>238.5</v>
      </c>
      <c r="E184" s="42">
        <v>45762</v>
      </c>
      <c r="F184">
        <v>11685880</v>
      </c>
    </row>
    <row r="185" spans="2:6">
      <c r="B185" s="37">
        <v>44467</v>
      </c>
      <c r="C185" s="36">
        <v>237.25</v>
      </c>
      <c r="E185" s="42">
        <v>45758</v>
      </c>
      <c r="F185">
        <v>8939356</v>
      </c>
    </row>
    <row r="186" spans="2:6">
      <c r="B186" s="37">
        <v>44468</v>
      </c>
      <c r="C186" s="36">
        <v>237.85</v>
      </c>
      <c r="E186" s="42">
        <v>45756</v>
      </c>
      <c r="F186">
        <v>21785572</v>
      </c>
    </row>
    <row r="187" spans="2:6">
      <c r="B187" s="37">
        <v>44469</v>
      </c>
      <c r="C187" s="36">
        <v>235.8</v>
      </c>
      <c r="E187" s="42">
        <v>45755</v>
      </c>
      <c r="F187">
        <v>18600796</v>
      </c>
    </row>
    <row r="188" spans="2:6">
      <c r="B188" s="37">
        <v>44470</v>
      </c>
      <c r="C188" s="36">
        <v>235.25</v>
      </c>
      <c r="E188" s="42">
        <v>45754</v>
      </c>
      <c r="F188">
        <v>26762866</v>
      </c>
    </row>
    <row r="189" spans="2:6">
      <c r="B189" s="37">
        <v>44473</v>
      </c>
      <c r="C189" s="36">
        <v>236.6</v>
      </c>
      <c r="E189" s="42">
        <v>45751</v>
      </c>
      <c r="F189">
        <v>18627592</v>
      </c>
    </row>
    <row r="190" spans="2:6">
      <c r="B190" s="37">
        <v>44474</v>
      </c>
      <c r="C190" s="36">
        <v>234.6</v>
      </c>
      <c r="E190" s="42">
        <v>45750</v>
      </c>
      <c r="F190">
        <v>7059566</v>
      </c>
    </row>
    <row r="191" spans="2:6">
      <c r="B191" s="37">
        <v>44475</v>
      </c>
      <c r="C191" s="36">
        <v>230.9</v>
      </c>
      <c r="E191" s="42">
        <v>45749</v>
      </c>
      <c r="F191">
        <v>8001323</v>
      </c>
    </row>
    <row r="192" spans="2:6">
      <c r="B192" s="37">
        <v>44476</v>
      </c>
      <c r="C192" s="36">
        <v>232.95</v>
      </c>
      <c r="E192" s="42">
        <v>45748</v>
      </c>
      <c r="F192">
        <v>15206240</v>
      </c>
    </row>
    <row r="193" spans="2:6">
      <c r="B193" s="37">
        <v>44477</v>
      </c>
      <c r="C193" s="36">
        <v>231.9</v>
      </c>
      <c r="E193" s="42">
        <v>45744</v>
      </c>
      <c r="F193">
        <v>12981873</v>
      </c>
    </row>
    <row r="194" spans="2:6">
      <c r="B194" s="37">
        <v>44480</v>
      </c>
      <c r="C194" s="36">
        <v>238.2</v>
      </c>
      <c r="E194" s="42">
        <v>45743</v>
      </c>
      <c r="F194">
        <v>18642328</v>
      </c>
    </row>
    <row r="195" spans="2:6">
      <c r="B195" s="37">
        <v>44481</v>
      </c>
      <c r="C195" s="36">
        <v>241.3</v>
      </c>
      <c r="E195" s="42">
        <v>45742</v>
      </c>
      <c r="F195">
        <v>13891436</v>
      </c>
    </row>
    <row r="196" spans="2:6">
      <c r="B196" s="37">
        <v>44482</v>
      </c>
      <c r="C196" s="36">
        <v>250.9</v>
      </c>
      <c r="E196" s="42">
        <v>45741</v>
      </c>
      <c r="F196">
        <v>20338110</v>
      </c>
    </row>
    <row r="197" spans="2:6">
      <c r="B197" s="37">
        <v>44483</v>
      </c>
      <c r="C197" s="36">
        <v>256.3</v>
      </c>
      <c r="E197" s="42">
        <v>45740</v>
      </c>
      <c r="F197">
        <v>14362572</v>
      </c>
    </row>
    <row r="198" spans="2:6">
      <c r="B198" s="37">
        <v>44487</v>
      </c>
      <c r="C198" s="36">
        <v>261.8</v>
      </c>
      <c r="E198" s="42">
        <v>45737</v>
      </c>
      <c r="F198">
        <v>25302035</v>
      </c>
    </row>
    <row r="199" spans="2:6">
      <c r="B199" s="37">
        <v>44488</v>
      </c>
      <c r="C199" s="36">
        <v>246.1</v>
      </c>
      <c r="E199" s="42">
        <v>45736</v>
      </c>
      <c r="F199">
        <v>16994037</v>
      </c>
    </row>
    <row r="200" spans="2:6">
      <c r="B200" s="37">
        <v>44489</v>
      </c>
      <c r="C200" s="36">
        <v>246.5</v>
      </c>
      <c r="E200" s="42">
        <v>45735</v>
      </c>
      <c r="F200">
        <v>12830387</v>
      </c>
    </row>
    <row r="201" spans="2:6">
      <c r="B201" s="37">
        <v>44490</v>
      </c>
      <c r="C201" s="36">
        <v>244.7</v>
      </c>
      <c r="E201" s="42">
        <v>45734</v>
      </c>
      <c r="F201">
        <v>13861897</v>
      </c>
    </row>
    <row r="202" spans="2:6">
      <c r="B202" s="37">
        <v>44491</v>
      </c>
      <c r="C202" s="36">
        <v>236.5</v>
      </c>
      <c r="E202" s="42">
        <v>45733</v>
      </c>
      <c r="F202">
        <v>5257859</v>
      </c>
    </row>
    <row r="203" spans="2:6">
      <c r="B203" s="37">
        <v>44494</v>
      </c>
      <c r="C203" s="36">
        <v>233</v>
      </c>
      <c r="E203" s="42">
        <v>45729</v>
      </c>
      <c r="F203">
        <v>8196569</v>
      </c>
    </row>
    <row r="204" spans="2:6">
      <c r="B204" s="37">
        <v>44495</v>
      </c>
      <c r="C204" s="36">
        <v>238.75</v>
      </c>
      <c r="E204" s="42">
        <v>45728</v>
      </c>
      <c r="F204">
        <v>13844306</v>
      </c>
    </row>
    <row r="205" spans="2:6">
      <c r="B205" s="37">
        <v>44496</v>
      </c>
      <c r="C205" s="36">
        <v>238.95</v>
      </c>
      <c r="E205" s="42">
        <v>45727</v>
      </c>
      <c r="F205">
        <v>11099475</v>
      </c>
    </row>
    <row r="206" spans="2:6">
      <c r="B206" s="37">
        <v>44497</v>
      </c>
      <c r="C206" s="36">
        <v>225.15</v>
      </c>
      <c r="E206" s="42">
        <v>45726</v>
      </c>
      <c r="F206">
        <v>9785018</v>
      </c>
    </row>
    <row r="207" spans="2:6">
      <c r="B207" s="37">
        <v>44498</v>
      </c>
      <c r="C207" s="36">
        <v>223.45</v>
      </c>
      <c r="E207" s="42">
        <v>45723</v>
      </c>
      <c r="F207">
        <v>11180761</v>
      </c>
    </row>
    <row r="208" spans="2:6">
      <c r="B208" s="37">
        <v>44501</v>
      </c>
      <c r="C208" s="36">
        <v>226.8</v>
      </c>
      <c r="E208" s="42">
        <v>45722</v>
      </c>
      <c r="F208">
        <v>17869996</v>
      </c>
    </row>
    <row r="209" spans="2:6">
      <c r="B209" s="37">
        <v>44502</v>
      </c>
      <c r="C209" s="36">
        <v>226</v>
      </c>
      <c r="E209" s="42">
        <v>45721</v>
      </c>
      <c r="F209">
        <v>15665018</v>
      </c>
    </row>
    <row r="210" spans="2:6">
      <c r="B210" s="37">
        <v>44503</v>
      </c>
      <c r="C210" s="36">
        <v>222.75</v>
      </c>
      <c r="E210" s="42">
        <v>45720</v>
      </c>
      <c r="F210">
        <v>13404774</v>
      </c>
    </row>
    <row r="211" spans="2:6">
      <c r="B211" s="37">
        <v>44504</v>
      </c>
      <c r="C211" s="36">
        <v>227.15</v>
      </c>
      <c r="E211" s="42">
        <v>45719</v>
      </c>
      <c r="F211">
        <v>10702826</v>
      </c>
    </row>
    <row r="212" spans="2:6">
      <c r="B212" s="37">
        <v>44508</v>
      </c>
      <c r="C212" s="36">
        <v>229.65</v>
      </c>
      <c r="E212" s="42">
        <v>45716</v>
      </c>
      <c r="F212">
        <v>31954776</v>
      </c>
    </row>
    <row r="213" spans="2:6">
      <c r="B213" s="37">
        <v>44509</v>
      </c>
      <c r="C213" s="36">
        <v>228.85</v>
      </c>
      <c r="E213" s="42">
        <v>45715</v>
      </c>
      <c r="F213">
        <v>19051003</v>
      </c>
    </row>
    <row r="214" spans="2:6">
      <c r="B214" s="37">
        <v>44510</v>
      </c>
      <c r="C214" s="36">
        <v>230.75</v>
      </c>
      <c r="E214" s="42">
        <v>45713</v>
      </c>
      <c r="F214">
        <v>15760891</v>
      </c>
    </row>
    <row r="215" spans="2:6">
      <c r="B215" s="37">
        <v>44511</v>
      </c>
      <c r="C215" s="36">
        <v>230.2</v>
      </c>
      <c r="E215" s="42">
        <v>45712</v>
      </c>
      <c r="F215">
        <v>7037625</v>
      </c>
    </row>
    <row r="216" spans="2:6">
      <c r="B216" s="37">
        <v>44512</v>
      </c>
      <c r="C216" s="36">
        <v>232.85</v>
      </c>
      <c r="E216" s="42">
        <v>45709</v>
      </c>
      <c r="F216">
        <v>8240986</v>
      </c>
    </row>
    <row r="217" spans="2:6">
      <c r="B217" s="37">
        <v>44515</v>
      </c>
      <c r="C217" s="36">
        <v>238.15</v>
      </c>
      <c r="E217" s="42">
        <v>45708</v>
      </c>
      <c r="F217">
        <v>15355585</v>
      </c>
    </row>
    <row r="218" spans="2:6">
      <c r="B218" s="37">
        <v>44516</v>
      </c>
      <c r="C218" s="36">
        <v>235.25</v>
      </c>
      <c r="E218" s="42">
        <v>45707</v>
      </c>
      <c r="F218">
        <v>7079032</v>
      </c>
    </row>
    <row r="219" spans="2:6">
      <c r="B219" s="37">
        <v>44517</v>
      </c>
      <c r="C219" s="36">
        <v>239.3</v>
      </c>
      <c r="E219" s="42">
        <v>45706</v>
      </c>
      <c r="F219">
        <v>12998403</v>
      </c>
    </row>
    <row r="220" spans="2:6">
      <c r="B220" s="37">
        <v>44518</v>
      </c>
      <c r="C220" s="36">
        <v>237.65</v>
      </c>
      <c r="E220" s="42">
        <v>45705</v>
      </c>
      <c r="F220">
        <v>11975265</v>
      </c>
    </row>
    <row r="221" spans="2:6">
      <c r="B221" s="37">
        <v>44522</v>
      </c>
      <c r="C221" s="36">
        <v>230.65</v>
      </c>
      <c r="E221" s="42">
        <v>45702</v>
      </c>
      <c r="F221">
        <v>14124236</v>
      </c>
    </row>
    <row r="222" spans="2:6">
      <c r="B222" s="37">
        <v>44523</v>
      </c>
      <c r="C222" s="36">
        <v>231.6</v>
      </c>
      <c r="E222" s="42">
        <v>45701</v>
      </c>
      <c r="F222">
        <v>12989029</v>
      </c>
    </row>
    <row r="223" spans="2:6">
      <c r="B223" s="37">
        <v>44524</v>
      </c>
      <c r="C223" s="36">
        <v>227.2</v>
      </c>
      <c r="E223" s="42">
        <v>45700</v>
      </c>
      <c r="F223">
        <v>13884574</v>
      </c>
    </row>
    <row r="224" spans="2:6">
      <c r="B224" s="37">
        <v>44525</v>
      </c>
      <c r="C224" s="36">
        <v>231.75</v>
      </c>
      <c r="E224" s="42">
        <v>45699</v>
      </c>
      <c r="F224">
        <v>14288751</v>
      </c>
    </row>
    <row r="225" spans="2:6">
      <c r="B225" s="37">
        <v>44526</v>
      </c>
      <c r="C225" s="36">
        <v>223.6</v>
      </c>
      <c r="E225" s="42">
        <v>45698</v>
      </c>
      <c r="F225">
        <v>12227140</v>
      </c>
    </row>
    <row r="226" spans="2:6">
      <c r="B226" s="37">
        <v>44529</v>
      </c>
      <c r="C226" s="36">
        <v>221.7</v>
      </c>
      <c r="E226" s="42">
        <v>45695</v>
      </c>
      <c r="F226">
        <v>18875982</v>
      </c>
    </row>
    <row r="227" spans="2:6">
      <c r="B227" s="37">
        <v>44530</v>
      </c>
      <c r="C227" s="36">
        <v>221.7</v>
      </c>
      <c r="E227" s="42">
        <v>45694</v>
      </c>
      <c r="F227">
        <v>17469129</v>
      </c>
    </row>
    <row r="228" spans="2:6">
      <c r="B228" s="37">
        <v>44531</v>
      </c>
      <c r="C228" s="36">
        <v>222.45</v>
      </c>
      <c r="E228" s="42">
        <v>45693</v>
      </c>
      <c r="F228">
        <v>12836283</v>
      </c>
    </row>
    <row r="229" spans="2:6">
      <c r="B229" s="37">
        <v>44532</v>
      </c>
      <c r="C229" s="36">
        <v>225.4</v>
      </c>
      <c r="E229" s="42">
        <v>45692</v>
      </c>
      <c r="F229">
        <v>18923681</v>
      </c>
    </row>
    <row r="230" spans="2:6">
      <c r="B230" s="37">
        <v>44533</v>
      </c>
      <c r="C230" s="36">
        <v>221.5</v>
      </c>
      <c r="E230" s="42">
        <v>45691</v>
      </c>
      <c r="F230">
        <v>16991730</v>
      </c>
    </row>
    <row r="231" spans="2:6">
      <c r="B231" s="37">
        <v>44536</v>
      </c>
      <c r="C231" s="36">
        <v>217.7</v>
      </c>
      <c r="E231" s="42">
        <v>45689</v>
      </c>
      <c r="F231">
        <v>30393007</v>
      </c>
    </row>
    <row r="232" spans="2:6">
      <c r="B232" s="37">
        <v>44537</v>
      </c>
      <c r="C232" s="36">
        <v>220.7</v>
      </c>
      <c r="E232" s="42">
        <v>45688</v>
      </c>
      <c r="F232">
        <v>13546181</v>
      </c>
    </row>
    <row r="233" spans="2:6">
      <c r="B233" s="37">
        <v>44538</v>
      </c>
      <c r="C233" s="36">
        <v>224.7</v>
      </c>
      <c r="E233" s="42">
        <v>45687</v>
      </c>
      <c r="F233">
        <v>22496695</v>
      </c>
    </row>
    <row r="234" spans="2:6">
      <c r="B234" s="37">
        <v>44539</v>
      </c>
      <c r="C234" s="36">
        <v>236</v>
      </c>
      <c r="E234" s="42">
        <v>45686</v>
      </c>
      <c r="F234">
        <v>15158510</v>
      </c>
    </row>
    <row r="235" spans="2:6">
      <c r="B235" s="37">
        <v>44540</v>
      </c>
      <c r="C235" s="36">
        <v>235.9</v>
      </c>
      <c r="E235" s="42">
        <v>45685</v>
      </c>
      <c r="F235">
        <v>20813072</v>
      </c>
    </row>
    <row r="236" spans="2:6">
      <c r="B236" s="37">
        <v>44543</v>
      </c>
      <c r="C236" s="36">
        <v>234.7</v>
      </c>
      <c r="E236" s="42">
        <v>45684</v>
      </c>
      <c r="F236">
        <v>10480203</v>
      </c>
    </row>
    <row r="237" spans="2:6">
      <c r="B237" s="37">
        <v>44544</v>
      </c>
      <c r="C237" s="36">
        <v>228.2</v>
      </c>
      <c r="E237" s="42">
        <v>45681</v>
      </c>
      <c r="F237">
        <v>9665384</v>
      </c>
    </row>
    <row r="238" spans="2:6">
      <c r="B238" s="37">
        <v>44545</v>
      </c>
      <c r="C238" s="36">
        <v>223.95</v>
      </c>
      <c r="E238" s="42">
        <v>45680</v>
      </c>
      <c r="F238">
        <v>8888248</v>
      </c>
    </row>
    <row r="239" spans="2:6">
      <c r="B239" s="37">
        <v>44546</v>
      </c>
      <c r="C239" s="36">
        <v>223.4</v>
      </c>
      <c r="E239" s="42">
        <v>45679</v>
      </c>
      <c r="F239">
        <v>9619648</v>
      </c>
    </row>
    <row r="240" spans="2:6">
      <c r="B240" s="37">
        <v>44547</v>
      </c>
      <c r="C240" s="36">
        <v>218.1</v>
      </c>
      <c r="E240" s="42">
        <v>45678</v>
      </c>
      <c r="F240">
        <v>15686500</v>
      </c>
    </row>
    <row r="241" spans="2:6">
      <c r="B241" s="37">
        <v>44550</v>
      </c>
      <c r="C241" s="36">
        <v>212.5</v>
      </c>
      <c r="E241" s="42">
        <v>45677</v>
      </c>
      <c r="F241">
        <v>8742771</v>
      </c>
    </row>
    <row r="242" spans="2:6">
      <c r="B242" s="37">
        <v>44551</v>
      </c>
      <c r="C242" s="36">
        <v>212.5</v>
      </c>
      <c r="E242" s="42">
        <v>45674</v>
      </c>
      <c r="F242">
        <v>11270061</v>
      </c>
    </row>
    <row r="243" spans="2:6">
      <c r="B243" s="37">
        <v>44552</v>
      </c>
      <c r="C243" s="36">
        <v>212.3</v>
      </c>
      <c r="E243" s="42">
        <v>45673</v>
      </c>
      <c r="F243">
        <v>15774070</v>
      </c>
    </row>
    <row r="244" spans="2:6">
      <c r="B244" s="37">
        <v>44553</v>
      </c>
      <c r="C244" s="36">
        <v>217.4</v>
      </c>
      <c r="E244" s="42">
        <v>45672</v>
      </c>
      <c r="F244">
        <v>9786805</v>
      </c>
    </row>
    <row r="245" spans="2:6">
      <c r="B245" s="37">
        <v>44554</v>
      </c>
      <c r="C245" s="36">
        <v>218</v>
      </c>
      <c r="E245" s="42">
        <v>45671</v>
      </c>
      <c r="F245">
        <v>18048459</v>
      </c>
    </row>
    <row r="246" spans="2:6">
      <c r="B246" s="37">
        <v>44557</v>
      </c>
      <c r="C246" s="36">
        <v>217.7</v>
      </c>
      <c r="E246" s="42">
        <v>45670</v>
      </c>
      <c r="F246">
        <v>17799607</v>
      </c>
    </row>
    <row r="247" spans="2:6">
      <c r="B247" s="37">
        <v>44558</v>
      </c>
      <c r="C247" s="36">
        <v>219.8</v>
      </c>
      <c r="E247" s="42">
        <v>45667</v>
      </c>
      <c r="F247">
        <v>9145729</v>
      </c>
    </row>
    <row r="248" spans="2:6">
      <c r="B248" s="37">
        <v>44559</v>
      </c>
      <c r="C248" s="36">
        <v>216.6</v>
      </c>
      <c r="E248" s="42">
        <v>45666</v>
      </c>
      <c r="F248">
        <v>19732649</v>
      </c>
    </row>
    <row r="249" spans="2:6">
      <c r="B249" s="37">
        <v>44560</v>
      </c>
      <c r="C249" s="36">
        <v>216.45</v>
      </c>
      <c r="E249" s="42">
        <v>45665</v>
      </c>
      <c r="F249">
        <v>13482926</v>
      </c>
    </row>
    <row r="250" spans="2:6">
      <c r="B250" s="37">
        <v>44561</v>
      </c>
      <c r="C250" s="36">
        <v>218</v>
      </c>
      <c r="E250" s="42">
        <v>45664</v>
      </c>
      <c r="F250">
        <v>14294780</v>
      </c>
    </row>
    <row r="251" spans="2:6">
      <c r="B251" s="37">
        <v>44564</v>
      </c>
      <c r="C251" s="36">
        <v>219.1</v>
      </c>
      <c r="E251" s="42">
        <v>45663</v>
      </c>
      <c r="F251">
        <v>22009958</v>
      </c>
    </row>
    <row r="252" spans="2:6">
      <c r="B252" s="37">
        <v>44565</v>
      </c>
      <c r="C252" s="36">
        <v>219.8</v>
      </c>
      <c r="E252" s="42">
        <v>45660</v>
      </c>
      <c r="F252">
        <v>37072992</v>
      </c>
    </row>
    <row r="253" spans="2:6">
      <c r="B253" s="37">
        <v>44566</v>
      </c>
      <c r="C253" s="36">
        <v>220.35</v>
      </c>
    </row>
    <row r="254" spans="2:6">
      <c r="B254" s="37">
        <v>44567</v>
      </c>
      <c r="C254" s="36">
        <v>218.75</v>
      </c>
    </row>
    <row r="255" spans="2:6">
      <c r="B255" s="37">
        <v>44568</v>
      </c>
      <c r="C255" s="36">
        <v>218.45</v>
      </c>
    </row>
    <row r="256" spans="2:6">
      <c r="B256" s="37">
        <v>44571</v>
      </c>
      <c r="C256" s="36">
        <v>223.3</v>
      </c>
    </row>
    <row r="257" spans="2:3">
      <c r="B257" s="37">
        <v>44572</v>
      </c>
      <c r="C257" s="36">
        <v>222</v>
      </c>
    </row>
    <row r="258" spans="2:3">
      <c r="B258" s="37">
        <v>44573</v>
      </c>
      <c r="C258" s="36">
        <v>222.5</v>
      </c>
    </row>
    <row r="259" spans="2:3">
      <c r="B259" s="37">
        <v>44574</v>
      </c>
      <c r="C259" s="36">
        <v>223.9</v>
      </c>
    </row>
    <row r="260" spans="2:3">
      <c r="B260" s="37">
        <v>44575</v>
      </c>
      <c r="C260" s="36">
        <v>222.9</v>
      </c>
    </row>
    <row r="261" spans="2:3">
      <c r="B261" s="37">
        <v>44578</v>
      </c>
      <c r="C261" s="36">
        <v>224.75</v>
      </c>
    </row>
    <row r="262" spans="2:3">
      <c r="B262" s="37">
        <v>44579</v>
      </c>
      <c r="C262" s="36">
        <v>220.6</v>
      </c>
    </row>
    <row r="263" spans="2:3">
      <c r="B263" s="37">
        <v>44580</v>
      </c>
      <c r="C263" s="36">
        <v>220.4</v>
      </c>
    </row>
    <row r="264" spans="2:3">
      <c r="B264" s="37">
        <v>44581</v>
      </c>
      <c r="C264" s="36">
        <v>219.1</v>
      </c>
    </row>
    <row r="265" spans="2:3">
      <c r="B265" s="37">
        <v>44582</v>
      </c>
      <c r="C265" s="36">
        <v>217.3</v>
      </c>
    </row>
    <row r="266" spans="2:3">
      <c r="B266" s="37">
        <v>44585</v>
      </c>
      <c r="C266" s="36">
        <v>211.65</v>
      </c>
    </row>
    <row r="267" spans="2:3">
      <c r="B267" s="37">
        <v>44586</v>
      </c>
      <c r="C267" s="36">
        <v>214.05</v>
      </c>
    </row>
    <row r="268" spans="2:3">
      <c r="B268" s="37">
        <v>44588</v>
      </c>
      <c r="C268" s="36">
        <v>215.35</v>
      </c>
    </row>
    <row r="269" spans="2:3">
      <c r="B269" s="37">
        <v>44589</v>
      </c>
      <c r="C269" s="36">
        <v>217.5</v>
      </c>
    </row>
    <row r="270" spans="2:3">
      <c r="B270" s="37">
        <v>44592</v>
      </c>
      <c r="C270" s="36">
        <v>220</v>
      </c>
    </row>
    <row r="271" spans="2:3">
      <c r="B271" s="37">
        <v>44593</v>
      </c>
      <c r="C271" s="36">
        <v>227.9</v>
      </c>
    </row>
    <row r="272" spans="2:3">
      <c r="B272" s="37">
        <v>44594</v>
      </c>
      <c r="C272" s="36">
        <v>231.85</v>
      </c>
    </row>
    <row r="273" spans="2:3">
      <c r="B273" s="37">
        <v>44595</v>
      </c>
      <c r="C273" s="36">
        <v>233.5</v>
      </c>
    </row>
    <row r="274" spans="2:3">
      <c r="B274" s="37">
        <v>44596</v>
      </c>
      <c r="C274" s="36">
        <v>233.6</v>
      </c>
    </row>
    <row r="275" spans="2:3">
      <c r="B275" s="37">
        <v>44599</v>
      </c>
      <c r="C275" s="36">
        <v>230.35</v>
      </c>
    </row>
    <row r="276" spans="2:3">
      <c r="B276" s="37">
        <v>44600</v>
      </c>
      <c r="C276" s="36">
        <v>230.95</v>
      </c>
    </row>
    <row r="277" spans="2:3">
      <c r="B277" s="37">
        <v>44601</v>
      </c>
      <c r="C277" s="36">
        <v>230.15</v>
      </c>
    </row>
    <row r="278" spans="2:3">
      <c r="B278" s="37">
        <v>44602</v>
      </c>
      <c r="C278" s="36">
        <v>231.5</v>
      </c>
    </row>
    <row r="279" spans="2:3">
      <c r="B279" s="37">
        <v>44603</v>
      </c>
      <c r="C279" s="36">
        <v>231.85</v>
      </c>
    </row>
    <row r="280" spans="2:3">
      <c r="B280" s="37">
        <v>44606</v>
      </c>
      <c r="C280" s="36">
        <v>219</v>
      </c>
    </row>
    <row r="281" spans="2:3">
      <c r="B281" s="37">
        <v>44607</v>
      </c>
      <c r="C281" s="36">
        <v>223.1</v>
      </c>
    </row>
    <row r="282" spans="2:3">
      <c r="B282" s="37">
        <v>44608</v>
      </c>
      <c r="C282" s="36">
        <v>222.4</v>
      </c>
    </row>
    <row r="283" spans="2:3">
      <c r="B283" s="37">
        <v>44609</v>
      </c>
      <c r="C283" s="36">
        <v>222.7</v>
      </c>
    </row>
    <row r="284" spans="2:3">
      <c r="B284" s="37">
        <v>44610</v>
      </c>
      <c r="C284" s="36">
        <v>221.75</v>
      </c>
    </row>
    <row r="285" spans="2:3">
      <c r="B285" s="37">
        <v>44613</v>
      </c>
      <c r="C285" s="36">
        <v>218.1</v>
      </c>
    </row>
    <row r="286" spans="2:3">
      <c r="B286" s="37">
        <v>44614</v>
      </c>
      <c r="C286" s="36">
        <v>214.65</v>
      </c>
    </row>
    <row r="287" spans="2:3">
      <c r="B287" s="37">
        <v>44615</v>
      </c>
      <c r="C287" s="36">
        <v>215.75</v>
      </c>
    </row>
    <row r="288" spans="2:3">
      <c r="B288" s="37">
        <v>44616</v>
      </c>
      <c r="C288" s="36">
        <v>209.35</v>
      </c>
    </row>
    <row r="289" spans="2:3">
      <c r="B289" s="37">
        <v>44617</v>
      </c>
      <c r="C289" s="36">
        <v>214.15</v>
      </c>
    </row>
    <row r="290" spans="2:3">
      <c r="B290" s="37">
        <v>44620</v>
      </c>
      <c r="C290" s="36">
        <v>215.9</v>
      </c>
    </row>
    <row r="291" spans="2:3">
      <c r="B291" s="37">
        <v>44622</v>
      </c>
      <c r="C291" s="36">
        <v>215.4</v>
      </c>
    </row>
    <row r="292" spans="2:3">
      <c r="B292" s="37">
        <v>44623</v>
      </c>
      <c r="C292" s="36">
        <v>219.35</v>
      </c>
    </row>
    <row r="293" spans="2:3">
      <c r="B293" s="37">
        <v>44624</v>
      </c>
      <c r="C293" s="36">
        <v>225</v>
      </c>
    </row>
    <row r="294" spans="2:3">
      <c r="B294" s="37">
        <v>44627</v>
      </c>
      <c r="C294" s="36">
        <v>225.95</v>
      </c>
    </row>
    <row r="295" spans="2:3">
      <c r="B295" s="37">
        <v>44628</v>
      </c>
      <c r="C295" s="36">
        <v>226.8</v>
      </c>
    </row>
    <row r="296" spans="2:3">
      <c r="B296" s="37">
        <v>44629</v>
      </c>
      <c r="C296" s="36">
        <v>229</v>
      </c>
    </row>
    <row r="297" spans="2:3">
      <c r="B297" s="37">
        <v>44630</v>
      </c>
      <c r="C297" s="36">
        <v>231.45</v>
      </c>
    </row>
    <row r="298" spans="2:3">
      <c r="B298" s="37">
        <v>44631</v>
      </c>
      <c r="C298" s="36">
        <v>234.95</v>
      </c>
    </row>
    <row r="299" spans="2:3">
      <c r="B299" s="37">
        <v>44634</v>
      </c>
      <c r="C299" s="36">
        <v>239</v>
      </c>
    </row>
    <row r="300" spans="2:3">
      <c r="B300" s="37">
        <v>44635</v>
      </c>
      <c r="C300" s="36">
        <v>238.2</v>
      </c>
    </row>
    <row r="301" spans="2:3">
      <c r="B301" s="37">
        <v>44636</v>
      </c>
      <c r="C301" s="36">
        <v>242.4</v>
      </c>
    </row>
    <row r="302" spans="2:3">
      <c r="B302" s="37">
        <v>44637</v>
      </c>
      <c r="C302" s="36">
        <v>244.55</v>
      </c>
    </row>
    <row r="303" spans="2:3">
      <c r="B303" s="37">
        <v>44641</v>
      </c>
      <c r="C303" s="36">
        <v>244.5</v>
      </c>
    </row>
    <row r="304" spans="2:3">
      <c r="B304" s="37">
        <v>44642</v>
      </c>
      <c r="C304" s="36">
        <v>249.95</v>
      </c>
    </row>
    <row r="305" spans="2:3">
      <c r="B305" s="37">
        <v>44643</v>
      </c>
      <c r="C305" s="36">
        <v>251.9</v>
      </c>
    </row>
    <row r="306" spans="2:3">
      <c r="B306" s="37">
        <v>44644</v>
      </c>
      <c r="C306" s="36">
        <v>254.75</v>
      </c>
    </row>
    <row r="307" spans="2:3">
      <c r="B307" s="37">
        <v>44645</v>
      </c>
      <c r="C307" s="36">
        <v>252.7</v>
      </c>
    </row>
    <row r="308" spans="2:3">
      <c r="B308" s="37">
        <v>44648</v>
      </c>
      <c r="C308" s="36">
        <v>256.2</v>
      </c>
    </row>
    <row r="309" spans="2:3">
      <c r="B309" s="37">
        <v>44649</v>
      </c>
      <c r="C309" s="36">
        <v>254.3</v>
      </c>
    </row>
    <row r="310" spans="2:3">
      <c r="B310" s="37">
        <v>44650</v>
      </c>
      <c r="C310" s="36">
        <v>249.05</v>
      </c>
    </row>
    <row r="311" spans="2:3">
      <c r="B311" s="37">
        <v>44651</v>
      </c>
      <c r="C311" s="36">
        <v>250.7</v>
      </c>
    </row>
    <row r="312" spans="2:3">
      <c r="B312" s="37">
        <v>44652</v>
      </c>
      <c r="C312" s="36">
        <v>255.05</v>
      </c>
    </row>
    <row r="313" spans="2:3">
      <c r="B313" s="37">
        <v>44655</v>
      </c>
      <c r="C313" s="36">
        <v>255.75</v>
      </c>
    </row>
    <row r="314" spans="2:3">
      <c r="B314" s="37">
        <v>44656</v>
      </c>
      <c r="C314" s="36">
        <v>259</v>
      </c>
    </row>
    <row r="315" spans="2:3">
      <c r="B315" s="37">
        <v>44657</v>
      </c>
      <c r="C315" s="36">
        <v>260</v>
      </c>
    </row>
    <row r="316" spans="2:3">
      <c r="B316" s="37">
        <v>44658</v>
      </c>
      <c r="C316" s="36">
        <v>256.7</v>
      </c>
    </row>
    <row r="317" spans="2:3">
      <c r="B317" s="37">
        <v>44659</v>
      </c>
      <c r="C317" s="36">
        <v>268.75</v>
      </c>
    </row>
    <row r="318" spans="2:3">
      <c r="B318" s="37">
        <v>44662</v>
      </c>
      <c r="C318" s="36">
        <v>267.10000000000002</v>
      </c>
    </row>
    <row r="319" spans="2:3">
      <c r="B319" s="37">
        <v>44663</v>
      </c>
      <c r="C319" s="36">
        <v>264.60000000000002</v>
      </c>
    </row>
    <row r="320" spans="2:3">
      <c r="B320" s="37">
        <v>44664</v>
      </c>
      <c r="C320" s="36">
        <v>269.10000000000002</v>
      </c>
    </row>
    <row r="321" spans="2:3">
      <c r="B321" s="37">
        <v>44669</v>
      </c>
      <c r="C321" s="36">
        <v>270.35000000000002</v>
      </c>
    </row>
    <row r="322" spans="2:3">
      <c r="B322" s="37">
        <v>44670</v>
      </c>
      <c r="C322" s="36">
        <v>259.25</v>
      </c>
    </row>
    <row r="323" spans="2:3">
      <c r="B323" s="37">
        <v>44671</v>
      </c>
      <c r="C323" s="36">
        <v>259.8</v>
      </c>
    </row>
    <row r="324" spans="2:3">
      <c r="B324" s="37">
        <v>44672</v>
      </c>
      <c r="C324" s="36">
        <v>260.25</v>
      </c>
    </row>
    <row r="325" spans="2:3">
      <c r="B325" s="37">
        <v>44673</v>
      </c>
      <c r="C325" s="36">
        <v>261.10000000000002</v>
      </c>
    </row>
    <row r="326" spans="2:3">
      <c r="B326" s="37">
        <v>44676</v>
      </c>
      <c r="C326" s="36">
        <v>255.5</v>
      </c>
    </row>
    <row r="327" spans="2:3">
      <c r="B327" s="37">
        <v>44677</v>
      </c>
      <c r="C327" s="36">
        <v>258.85000000000002</v>
      </c>
    </row>
    <row r="328" spans="2:3">
      <c r="B328" s="37">
        <v>44678</v>
      </c>
      <c r="C328" s="36">
        <v>257.2</v>
      </c>
    </row>
    <row r="329" spans="2:3">
      <c r="B329" s="37">
        <v>44679</v>
      </c>
      <c r="C329" s="36">
        <v>261.95</v>
      </c>
    </row>
    <row r="330" spans="2:3">
      <c r="B330" s="37">
        <v>44680</v>
      </c>
      <c r="C330" s="36">
        <v>259.5</v>
      </c>
    </row>
    <row r="331" spans="2:3">
      <c r="B331" s="37">
        <v>44683</v>
      </c>
      <c r="C331" s="36">
        <v>263.8</v>
      </c>
    </row>
    <row r="332" spans="2:3">
      <c r="B332" s="37">
        <v>44685</v>
      </c>
      <c r="C332" s="36">
        <v>260.3</v>
      </c>
    </row>
    <row r="333" spans="2:3">
      <c r="B333" s="37">
        <v>44686</v>
      </c>
      <c r="C333" s="36">
        <v>262</v>
      </c>
    </row>
    <row r="334" spans="2:3">
      <c r="B334" s="37">
        <v>44687</v>
      </c>
      <c r="C334" s="36">
        <v>265.64999999999998</v>
      </c>
    </row>
    <row r="335" spans="2:3">
      <c r="B335" s="37">
        <v>44690</v>
      </c>
      <c r="C335" s="36">
        <v>263.14999999999998</v>
      </c>
    </row>
    <row r="336" spans="2:3">
      <c r="B336" s="37">
        <v>44691</v>
      </c>
      <c r="C336" s="36">
        <v>259.5</v>
      </c>
    </row>
    <row r="337" spans="2:3">
      <c r="B337" s="37">
        <v>44692</v>
      </c>
      <c r="C337" s="36">
        <v>255.6</v>
      </c>
    </row>
    <row r="338" spans="2:3">
      <c r="B338" s="37">
        <v>44693</v>
      </c>
      <c r="C338" s="36">
        <v>253.45</v>
      </c>
    </row>
    <row r="339" spans="2:3">
      <c r="B339" s="37">
        <v>44694</v>
      </c>
      <c r="C339" s="36">
        <v>258</v>
      </c>
    </row>
    <row r="340" spans="2:3">
      <c r="B340" s="37">
        <v>44697</v>
      </c>
      <c r="C340" s="36">
        <v>254.35</v>
      </c>
    </row>
    <row r="341" spans="2:3">
      <c r="B341" s="37">
        <v>44698</v>
      </c>
      <c r="C341" s="36">
        <v>265</v>
      </c>
    </row>
    <row r="342" spans="2:3">
      <c r="B342" s="37">
        <v>44699</v>
      </c>
      <c r="C342" s="36">
        <v>266.5</v>
      </c>
    </row>
    <row r="343" spans="2:3">
      <c r="B343" s="37">
        <v>44700</v>
      </c>
      <c r="C343" s="36">
        <v>275.75</v>
      </c>
    </row>
    <row r="344" spans="2:3">
      <c r="B344" s="37">
        <v>44701</v>
      </c>
      <c r="C344" s="36">
        <v>280.05</v>
      </c>
    </row>
    <row r="345" spans="2:3">
      <c r="B345" s="37">
        <v>44704</v>
      </c>
      <c r="C345" s="36">
        <v>273.60000000000002</v>
      </c>
    </row>
    <row r="346" spans="2:3">
      <c r="B346" s="37">
        <v>44705</v>
      </c>
      <c r="C346" s="36">
        <v>271</v>
      </c>
    </row>
    <row r="347" spans="2:3">
      <c r="B347" s="37">
        <v>44706</v>
      </c>
      <c r="C347" s="36">
        <v>272.55</v>
      </c>
    </row>
    <row r="348" spans="2:3">
      <c r="B348" s="37">
        <v>44707</v>
      </c>
      <c r="C348" s="36">
        <v>266.89999999999998</v>
      </c>
    </row>
    <row r="349" spans="2:3">
      <c r="B349" s="37">
        <v>44708</v>
      </c>
      <c r="C349" s="36">
        <v>269.25</v>
      </c>
    </row>
    <row r="350" spans="2:3">
      <c r="B350" s="37">
        <v>44711</v>
      </c>
      <c r="C350" s="36">
        <v>269</v>
      </c>
    </row>
    <row r="351" spans="2:3">
      <c r="B351" s="37">
        <v>44712</v>
      </c>
      <c r="C351" s="36">
        <v>271.2</v>
      </c>
    </row>
    <row r="352" spans="2:3">
      <c r="B352" s="37">
        <v>44713</v>
      </c>
      <c r="C352" s="36">
        <v>271.5</v>
      </c>
    </row>
    <row r="353" spans="2:3">
      <c r="B353" s="37">
        <v>44714</v>
      </c>
      <c r="C353" s="36">
        <v>273</v>
      </c>
    </row>
    <row r="354" spans="2:3">
      <c r="B354" s="37">
        <v>44715</v>
      </c>
      <c r="C354" s="36">
        <v>272.39999999999998</v>
      </c>
    </row>
    <row r="355" spans="2:3">
      <c r="B355" s="37">
        <v>44718</v>
      </c>
      <c r="C355" s="36">
        <v>274.45</v>
      </c>
    </row>
    <row r="356" spans="2:3">
      <c r="B356" s="37">
        <v>44719</v>
      </c>
      <c r="C356" s="36">
        <v>273.95</v>
      </c>
    </row>
    <row r="357" spans="2:3">
      <c r="B357" s="37">
        <v>44720</v>
      </c>
      <c r="C357" s="36">
        <v>267.8</v>
      </c>
    </row>
    <row r="358" spans="2:3">
      <c r="B358" s="37">
        <v>44721</v>
      </c>
      <c r="C358" s="36">
        <v>270.89999999999998</v>
      </c>
    </row>
    <row r="359" spans="2:3">
      <c r="B359" s="37">
        <v>44722</v>
      </c>
      <c r="C359" s="36">
        <v>269.95</v>
      </c>
    </row>
    <row r="360" spans="2:3">
      <c r="B360" s="37">
        <v>44725</v>
      </c>
      <c r="C360" s="36">
        <v>264.55</v>
      </c>
    </row>
    <row r="361" spans="2:3">
      <c r="B361" s="37">
        <v>44726</v>
      </c>
      <c r="C361" s="36">
        <v>266</v>
      </c>
    </row>
    <row r="362" spans="2:3">
      <c r="B362" s="37">
        <v>44727</v>
      </c>
      <c r="C362" s="36">
        <v>263.5</v>
      </c>
    </row>
    <row r="363" spans="2:3">
      <c r="B363" s="37">
        <v>44728</v>
      </c>
      <c r="C363" s="36">
        <v>260.39999999999998</v>
      </c>
    </row>
    <row r="364" spans="2:3">
      <c r="B364" s="37">
        <v>44729</v>
      </c>
      <c r="C364" s="36">
        <v>263.5</v>
      </c>
    </row>
    <row r="365" spans="2:3">
      <c r="B365" s="37">
        <v>44732</v>
      </c>
      <c r="C365" s="36">
        <v>263.89999999999998</v>
      </c>
    </row>
    <row r="366" spans="2:3">
      <c r="B366" s="37">
        <v>44733</v>
      </c>
      <c r="C366" s="36">
        <v>269.60000000000002</v>
      </c>
    </row>
    <row r="367" spans="2:3">
      <c r="B367" s="37">
        <v>44734</v>
      </c>
      <c r="C367" s="36">
        <v>265</v>
      </c>
    </row>
    <row r="368" spans="2:3">
      <c r="B368" s="37">
        <v>44735</v>
      </c>
      <c r="C368" s="36">
        <v>266.35000000000002</v>
      </c>
    </row>
    <row r="369" spans="2:3">
      <c r="B369" s="37">
        <v>44736</v>
      </c>
      <c r="C369" s="36">
        <v>266</v>
      </c>
    </row>
    <row r="370" spans="2:3">
      <c r="B370" s="37">
        <v>44739</v>
      </c>
      <c r="C370" s="36">
        <v>270</v>
      </c>
    </row>
    <row r="371" spans="2:3">
      <c r="B371" s="37">
        <v>44740</v>
      </c>
      <c r="C371" s="36">
        <v>271.7</v>
      </c>
    </row>
    <row r="372" spans="2:3">
      <c r="B372" s="37">
        <v>44741</v>
      </c>
      <c r="C372" s="36">
        <v>273.35000000000002</v>
      </c>
    </row>
    <row r="373" spans="2:3">
      <c r="B373" s="37">
        <v>44742</v>
      </c>
      <c r="C373" s="36">
        <v>272.14999999999998</v>
      </c>
    </row>
    <row r="374" spans="2:3">
      <c r="B374" s="37">
        <v>44743</v>
      </c>
      <c r="C374" s="36">
        <v>284.75</v>
      </c>
    </row>
    <row r="375" spans="2:3">
      <c r="B375" s="37">
        <v>44746</v>
      </c>
      <c r="C375" s="36">
        <v>291.5</v>
      </c>
    </row>
    <row r="376" spans="2:3">
      <c r="B376" s="37">
        <v>44747</v>
      </c>
      <c r="C376" s="36">
        <v>286.75</v>
      </c>
    </row>
    <row r="377" spans="2:3">
      <c r="B377" s="37">
        <v>44748</v>
      </c>
      <c r="C377" s="36">
        <v>289.3</v>
      </c>
    </row>
    <row r="378" spans="2:3">
      <c r="B378" s="37">
        <v>44749</v>
      </c>
      <c r="C378" s="36">
        <v>291.8</v>
      </c>
    </row>
    <row r="379" spans="2:3">
      <c r="B379" s="37">
        <v>44750</v>
      </c>
      <c r="C379" s="36">
        <v>293.05</v>
      </c>
    </row>
    <row r="380" spans="2:3">
      <c r="B380" s="37">
        <v>44753</v>
      </c>
      <c r="C380" s="36">
        <v>294.8</v>
      </c>
    </row>
    <row r="381" spans="2:3">
      <c r="B381" s="37">
        <v>44754</v>
      </c>
      <c r="C381" s="36">
        <v>292.39999999999998</v>
      </c>
    </row>
    <row r="382" spans="2:3">
      <c r="B382" s="37">
        <v>44755</v>
      </c>
      <c r="C382" s="36">
        <v>294</v>
      </c>
    </row>
    <row r="383" spans="2:3">
      <c r="B383" s="37">
        <v>44756</v>
      </c>
      <c r="C383" s="36">
        <v>290.39999999999998</v>
      </c>
    </row>
    <row r="384" spans="2:3">
      <c r="B384" s="37">
        <v>44757</v>
      </c>
      <c r="C384" s="36">
        <v>293.8</v>
      </c>
    </row>
    <row r="385" spans="2:3">
      <c r="B385" s="37">
        <v>44760</v>
      </c>
      <c r="C385" s="36">
        <v>295.45</v>
      </c>
    </row>
    <row r="386" spans="2:3">
      <c r="B386" s="37">
        <v>44761</v>
      </c>
      <c r="C386" s="36">
        <v>294.45</v>
      </c>
    </row>
    <row r="387" spans="2:3">
      <c r="B387" s="37">
        <v>44762</v>
      </c>
      <c r="C387" s="36">
        <v>297.8</v>
      </c>
    </row>
    <row r="388" spans="2:3">
      <c r="B388" s="37">
        <v>44763</v>
      </c>
      <c r="C388" s="36">
        <v>299.45</v>
      </c>
    </row>
    <row r="389" spans="2:3">
      <c r="B389" s="37">
        <v>44764</v>
      </c>
      <c r="C389" s="36">
        <v>299.89999999999998</v>
      </c>
    </row>
    <row r="390" spans="2:3">
      <c r="B390" s="37">
        <v>44767</v>
      </c>
      <c r="C390" s="36">
        <v>300.95</v>
      </c>
    </row>
    <row r="391" spans="2:3">
      <c r="B391" s="37">
        <v>44768</v>
      </c>
      <c r="C391" s="36">
        <v>302.10000000000002</v>
      </c>
    </row>
    <row r="392" spans="2:3">
      <c r="B392" s="37">
        <v>44769</v>
      </c>
      <c r="C392" s="36">
        <v>304.2</v>
      </c>
    </row>
    <row r="393" spans="2:3">
      <c r="B393" s="37">
        <v>44770</v>
      </c>
      <c r="C393" s="36">
        <v>303.25</v>
      </c>
    </row>
    <row r="394" spans="2:3">
      <c r="B394" s="37">
        <v>44771</v>
      </c>
      <c r="C394" s="36">
        <v>303.89999999999998</v>
      </c>
    </row>
    <row r="395" spans="2:3">
      <c r="B395" s="37">
        <v>44774</v>
      </c>
      <c r="C395" s="36">
        <v>307.8</v>
      </c>
    </row>
    <row r="396" spans="2:3">
      <c r="B396" s="37">
        <v>44775</v>
      </c>
      <c r="C396" s="36">
        <v>309.3</v>
      </c>
    </row>
    <row r="397" spans="2:3">
      <c r="B397" s="37">
        <v>44776</v>
      </c>
      <c r="C397" s="36">
        <v>308</v>
      </c>
    </row>
    <row r="398" spans="2:3">
      <c r="B398" s="37">
        <v>44777</v>
      </c>
      <c r="C398" s="36">
        <v>309.39999999999998</v>
      </c>
    </row>
    <row r="399" spans="2:3">
      <c r="B399" s="37">
        <v>44778</v>
      </c>
      <c r="C399" s="36">
        <v>311.10000000000002</v>
      </c>
    </row>
    <row r="400" spans="2:3">
      <c r="B400" s="37">
        <v>44781</v>
      </c>
      <c r="C400" s="36">
        <v>313</v>
      </c>
    </row>
    <row r="401" spans="2:3">
      <c r="B401" s="37">
        <v>44783</v>
      </c>
      <c r="C401" s="36">
        <v>311.3</v>
      </c>
    </row>
    <row r="402" spans="2:3">
      <c r="B402" s="37">
        <v>44784</v>
      </c>
      <c r="C402" s="36">
        <v>305.75</v>
      </c>
    </row>
    <row r="403" spans="2:3">
      <c r="B403" s="37">
        <v>44785</v>
      </c>
      <c r="C403" s="36">
        <v>308.05</v>
      </c>
    </row>
    <row r="404" spans="2:3">
      <c r="B404" s="37">
        <v>44789</v>
      </c>
      <c r="C404" s="36">
        <v>310.60000000000002</v>
      </c>
    </row>
    <row r="405" spans="2:3">
      <c r="B405" s="37">
        <v>44790</v>
      </c>
      <c r="C405" s="36">
        <v>312.5</v>
      </c>
    </row>
    <row r="406" spans="2:3">
      <c r="B406" s="37">
        <v>44791</v>
      </c>
      <c r="C406" s="36">
        <v>315.35000000000002</v>
      </c>
    </row>
    <row r="407" spans="2:3">
      <c r="B407" s="37">
        <v>44792</v>
      </c>
      <c r="C407" s="36">
        <v>311.89999999999998</v>
      </c>
    </row>
    <row r="408" spans="2:3">
      <c r="B408" s="37">
        <v>44795</v>
      </c>
      <c r="C408" s="36">
        <v>313.85000000000002</v>
      </c>
    </row>
    <row r="409" spans="2:3">
      <c r="B409" s="37">
        <v>44796</v>
      </c>
      <c r="C409" s="36">
        <v>315.95</v>
      </c>
    </row>
    <row r="410" spans="2:3">
      <c r="B410" s="37">
        <v>44797</v>
      </c>
      <c r="C410" s="36">
        <v>313.89999999999998</v>
      </c>
    </row>
    <row r="411" spans="2:3">
      <c r="B411" s="37">
        <v>44798</v>
      </c>
      <c r="C411" s="36">
        <v>312.7</v>
      </c>
    </row>
    <row r="412" spans="2:3">
      <c r="B412" s="37">
        <v>44799</v>
      </c>
      <c r="C412" s="36">
        <v>313.35000000000002</v>
      </c>
    </row>
    <row r="413" spans="2:3">
      <c r="B413" s="37">
        <v>44802</v>
      </c>
      <c r="C413" s="36">
        <v>313.85000000000002</v>
      </c>
    </row>
    <row r="414" spans="2:3">
      <c r="B414" s="37">
        <v>44803</v>
      </c>
      <c r="C414" s="36">
        <v>320.7</v>
      </c>
    </row>
    <row r="415" spans="2:3">
      <c r="B415" s="37">
        <v>44805</v>
      </c>
      <c r="C415" s="36">
        <v>317.89999999999998</v>
      </c>
    </row>
    <row r="416" spans="2:3">
      <c r="B416" s="37">
        <v>44806</v>
      </c>
      <c r="C416" s="36">
        <v>323.35000000000002</v>
      </c>
    </row>
    <row r="417" spans="2:3">
      <c r="B417" s="37">
        <v>44809</v>
      </c>
      <c r="C417" s="36">
        <v>328.75</v>
      </c>
    </row>
    <row r="418" spans="2:3">
      <c r="B418" s="37">
        <v>44810</v>
      </c>
      <c r="C418" s="36">
        <v>326.89999999999998</v>
      </c>
    </row>
    <row r="419" spans="2:3">
      <c r="B419" s="37">
        <v>44811</v>
      </c>
      <c r="C419" s="36">
        <v>326</v>
      </c>
    </row>
    <row r="420" spans="2:3">
      <c r="B420" s="37">
        <v>44812</v>
      </c>
      <c r="C420" s="36">
        <v>330</v>
      </c>
    </row>
    <row r="421" spans="2:3">
      <c r="B421" s="37">
        <v>44813</v>
      </c>
      <c r="C421" s="36">
        <v>330.15</v>
      </c>
    </row>
    <row r="422" spans="2:3">
      <c r="B422" s="37">
        <v>44816</v>
      </c>
      <c r="C422" s="36">
        <v>330.9</v>
      </c>
    </row>
    <row r="423" spans="2:3">
      <c r="B423" s="37">
        <v>44817</v>
      </c>
      <c r="C423" s="36">
        <v>333.75</v>
      </c>
    </row>
    <row r="424" spans="2:3">
      <c r="B424" s="37">
        <v>44818</v>
      </c>
      <c r="C424" s="36">
        <v>335.75</v>
      </c>
    </row>
    <row r="425" spans="2:3">
      <c r="B425" s="37">
        <v>44819</v>
      </c>
      <c r="C425" s="36">
        <v>333.6</v>
      </c>
    </row>
    <row r="426" spans="2:3">
      <c r="B426" s="37">
        <v>44820</v>
      </c>
      <c r="C426" s="36">
        <v>331.5</v>
      </c>
    </row>
    <row r="427" spans="2:3">
      <c r="B427" s="37">
        <v>44823</v>
      </c>
      <c r="C427" s="36">
        <v>335.6</v>
      </c>
    </row>
    <row r="428" spans="2:3">
      <c r="B428" s="37">
        <v>44824</v>
      </c>
      <c r="C428" s="36">
        <v>335.25</v>
      </c>
    </row>
    <row r="429" spans="2:3">
      <c r="B429" s="37">
        <v>44825</v>
      </c>
      <c r="C429" s="36">
        <v>340.6</v>
      </c>
    </row>
    <row r="430" spans="2:3">
      <c r="B430" s="37">
        <v>44826</v>
      </c>
      <c r="C430" s="36">
        <v>345.75</v>
      </c>
    </row>
    <row r="431" spans="2:3">
      <c r="B431" s="37">
        <v>44827</v>
      </c>
      <c r="C431" s="36">
        <v>347</v>
      </c>
    </row>
    <row r="432" spans="2:3">
      <c r="B432" s="37">
        <v>44830</v>
      </c>
      <c r="C432" s="36">
        <v>332.5</v>
      </c>
    </row>
    <row r="433" spans="2:3">
      <c r="B433" s="37">
        <v>44831</v>
      </c>
      <c r="C433" s="36">
        <v>335.55</v>
      </c>
    </row>
    <row r="434" spans="2:3">
      <c r="B434" s="37">
        <v>44832</v>
      </c>
      <c r="C434" s="36">
        <v>324.5</v>
      </c>
    </row>
    <row r="435" spans="2:3">
      <c r="B435" s="37">
        <v>44833</v>
      </c>
      <c r="C435" s="36">
        <v>334.35</v>
      </c>
    </row>
    <row r="436" spans="2:3">
      <c r="B436" s="37">
        <v>44834</v>
      </c>
      <c r="C436" s="36">
        <v>332.2</v>
      </c>
    </row>
    <row r="437" spans="2:3">
      <c r="B437" s="37">
        <v>44837</v>
      </c>
      <c r="C437" s="36">
        <v>324.89999999999998</v>
      </c>
    </row>
    <row r="438" spans="2:3">
      <c r="B438" s="37">
        <v>44838</v>
      </c>
      <c r="C438" s="36">
        <v>333.1</v>
      </c>
    </row>
    <row r="439" spans="2:3">
      <c r="B439" s="37">
        <v>44840</v>
      </c>
      <c r="C439" s="36">
        <v>335.9</v>
      </c>
    </row>
    <row r="440" spans="2:3">
      <c r="B440" s="37">
        <v>44841</v>
      </c>
      <c r="C440" s="36">
        <v>334.45</v>
      </c>
    </row>
    <row r="441" spans="2:3">
      <c r="B441" s="37">
        <v>44844</v>
      </c>
      <c r="C441" s="36">
        <v>328.15</v>
      </c>
    </row>
    <row r="442" spans="2:3">
      <c r="B442" s="37">
        <v>44845</v>
      </c>
      <c r="C442" s="36">
        <v>325.89999999999998</v>
      </c>
    </row>
    <row r="443" spans="2:3">
      <c r="B443" s="37">
        <v>44846</v>
      </c>
      <c r="C443" s="36">
        <v>330</v>
      </c>
    </row>
    <row r="444" spans="2:3">
      <c r="B444" s="37">
        <v>44847</v>
      </c>
      <c r="C444" s="36">
        <v>328.85</v>
      </c>
    </row>
    <row r="445" spans="2:3">
      <c r="B445" s="37">
        <v>44848</v>
      </c>
      <c r="C445" s="36">
        <v>332.1</v>
      </c>
    </row>
    <row r="446" spans="2:3">
      <c r="B446" s="37">
        <v>44851</v>
      </c>
      <c r="C446" s="36">
        <v>332.55</v>
      </c>
    </row>
    <row r="447" spans="2:3">
      <c r="B447" s="37">
        <v>44852</v>
      </c>
      <c r="C447" s="36">
        <v>340.85</v>
      </c>
    </row>
    <row r="448" spans="2:3">
      <c r="B448" s="37">
        <v>44853</v>
      </c>
      <c r="C448" s="36">
        <v>347.2</v>
      </c>
    </row>
    <row r="449" spans="2:3">
      <c r="B449" s="37">
        <v>44854</v>
      </c>
      <c r="C449" s="36">
        <v>350.6</v>
      </c>
    </row>
    <row r="450" spans="2:3">
      <c r="B450" s="37">
        <v>44855</v>
      </c>
      <c r="C450" s="36">
        <v>344.85</v>
      </c>
    </row>
    <row r="451" spans="2:3">
      <c r="B451" s="37">
        <v>44858</v>
      </c>
      <c r="C451" s="36">
        <v>347.65</v>
      </c>
    </row>
    <row r="452" spans="2:3">
      <c r="B452" s="37">
        <v>44859</v>
      </c>
      <c r="C452" s="36">
        <v>346.1</v>
      </c>
    </row>
    <row r="453" spans="2:3">
      <c r="B453" s="37">
        <v>44861</v>
      </c>
      <c r="C453" s="36">
        <v>346.7</v>
      </c>
    </row>
    <row r="454" spans="2:3">
      <c r="B454" s="37">
        <v>44862</v>
      </c>
      <c r="C454" s="36">
        <v>346</v>
      </c>
    </row>
    <row r="455" spans="2:3">
      <c r="B455" s="37">
        <v>44865</v>
      </c>
      <c r="C455" s="36">
        <v>348.95</v>
      </c>
    </row>
    <row r="456" spans="2:3">
      <c r="B456" s="37">
        <v>44866</v>
      </c>
      <c r="C456" s="36">
        <v>349.5</v>
      </c>
    </row>
    <row r="457" spans="2:3">
      <c r="B457" s="37">
        <v>44867</v>
      </c>
      <c r="C457" s="36">
        <v>354</v>
      </c>
    </row>
    <row r="458" spans="2:3">
      <c r="B458" s="37">
        <v>44868</v>
      </c>
      <c r="C458" s="36">
        <v>354.15</v>
      </c>
    </row>
    <row r="459" spans="2:3">
      <c r="B459" s="37">
        <v>44869</v>
      </c>
      <c r="C459" s="36">
        <v>353.25</v>
      </c>
    </row>
    <row r="460" spans="2:3">
      <c r="B460" s="37">
        <v>44872</v>
      </c>
      <c r="C460" s="36">
        <v>353.7</v>
      </c>
    </row>
    <row r="461" spans="2:3">
      <c r="B461" s="37">
        <v>44874</v>
      </c>
      <c r="C461" s="36">
        <v>360.7</v>
      </c>
    </row>
    <row r="462" spans="2:3">
      <c r="B462" s="37">
        <v>44875</v>
      </c>
      <c r="C462" s="36">
        <v>356</v>
      </c>
    </row>
    <row r="463" spans="2:3">
      <c r="B463" s="37">
        <v>44876</v>
      </c>
      <c r="C463" s="36">
        <v>358</v>
      </c>
    </row>
    <row r="464" spans="2:3">
      <c r="B464" s="37">
        <v>44879</v>
      </c>
      <c r="C464" s="36">
        <v>347.45</v>
      </c>
    </row>
    <row r="465" spans="2:3">
      <c r="B465" s="37">
        <v>44880</v>
      </c>
      <c r="C465" s="36">
        <v>345.5</v>
      </c>
    </row>
    <row r="466" spans="2:3">
      <c r="B466" s="37">
        <v>44881</v>
      </c>
      <c r="C466" s="36">
        <v>344.5</v>
      </c>
    </row>
    <row r="467" spans="2:3">
      <c r="B467" s="37">
        <v>44882</v>
      </c>
      <c r="C467" s="36">
        <v>343.8</v>
      </c>
    </row>
    <row r="468" spans="2:3">
      <c r="B468" s="37">
        <v>44883</v>
      </c>
      <c r="C468" s="36">
        <v>341</v>
      </c>
    </row>
    <row r="469" spans="2:3">
      <c r="B469" s="37">
        <v>44886</v>
      </c>
      <c r="C469" s="36">
        <v>337.2</v>
      </c>
    </row>
    <row r="470" spans="2:3">
      <c r="B470" s="37">
        <v>44887</v>
      </c>
      <c r="C470" s="36">
        <v>340</v>
      </c>
    </row>
    <row r="471" spans="2:3">
      <c r="B471" s="37">
        <v>44888</v>
      </c>
      <c r="C471" s="36">
        <v>339.2</v>
      </c>
    </row>
    <row r="472" spans="2:3">
      <c r="B472" s="37">
        <v>44889</v>
      </c>
      <c r="C472" s="36">
        <v>341.1</v>
      </c>
    </row>
    <row r="473" spans="2:3">
      <c r="B473" s="37">
        <v>44890</v>
      </c>
      <c r="C473" s="36">
        <v>340.3</v>
      </c>
    </row>
    <row r="474" spans="2:3">
      <c r="B474" s="37">
        <v>44893</v>
      </c>
      <c r="C474" s="36">
        <v>339.95</v>
      </c>
    </row>
    <row r="475" spans="2:3">
      <c r="B475" s="37">
        <v>44894</v>
      </c>
      <c r="C475" s="36">
        <v>342.45</v>
      </c>
    </row>
    <row r="476" spans="2:3">
      <c r="B476" s="37">
        <v>44895</v>
      </c>
      <c r="C476" s="36">
        <v>340.3</v>
      </c>
    </row>
    <row r="477" spans="2:3">
      <c r="B477" s="37">
        <v>44896</v>
      </c>
      <c r="C477" s="36">
        <v>339.7</v>
      </c>
    </row>
    <row r="478" spans="2:3">
      <c r="B478" s="37">
        <v>44897</v>
      </c>
      <c r="C478" s="36">
        <v>337.5</v>
      </c>
    </row>
    <row r="479" spans="2:3">
      <c r="B479" s="37">
        <v>44900</v>
      </c>
      <c r="C479" s="36">
        <v>336.6</v>
      </c>
    </row>
    <row r="480" spans="2:3">
      <c r="B480" s="37">
        <v>44901</v>
      </c>
      <c r="C480" s="36">
        <v>337.6</v>
      </c>
    </row>
    <row r="481" spans="2:3">
      <c r="B481" s="37">
        <v>44902</v>
      </c>
      <c r="C481" s="36">
        <v>340</v>
      </c>
    </row>
    <row r="482" spans="2:3">
      <c r="B482" s="37">
        <v>44903</v>
      </c>
      <c r="C482" s="36">
        <v>338.3</v>
      </c>
    </row>
    <row r="483" spans="2:3">
      <c r="B483" s="37">
        <v>44904</v>
      </c>
      <c r="C483" s="36">
        <v>342</v>
      </c>
    </row>
    <row r="484" spans="2:3">
      <c r="B484" s="37">
        <v>44907</v>
      </c>
      <c r="C484" s="36">
        <v>343.25</v>
      </c>
    </row>
    <row r="485" spans="2:3">
      <c r="B485" s="37">
        <v>44908</v>
      </c>
      <c r="C485" s="36">
        <v>345.05</v>
      </c>
    </row>
    <row r="486" spans="2:3">
      <c r="B486" s="37">
        <v>44909</v>
      </c>
      <c r="C486" s="36">
        <v>345.1</v>
      </c>
    </row>
    <row r="487" spans="2:3">
      <c r="B487" s="37">
        <v>44910</v>
      </c>
      <c r="C487" s="36">
        <v>338.7</v>
      </c>
    </row>
    <row r="488" spans="2:3">
      <c r="B488" s="37">
        <v>44911</v>
      </c>
      <c r="C488" s="36">
        <v>335.75</v>
      </c>
    </row>
    <row r="489" spans="2:3">
      <c r="B489" s="37">
        <v>44914</v>
      </c>
      <c r="C489" s="36">
        <v>340.05</v>
      </c>
    </row>
    <row r="490" spans="2:3">
      <c r="B490" s="37">
        <v>44915</v>
      </c>
      <c r="C490" s="36">
        <v>339.9</v>
      </c>
    </row>
    <row r="491" spans="2:3">
      <c r="B491" s="37">
        <v>44916</v>
      </c>
      <c r="C491" s="36">
        <v>335.7</v>
      </c>
    </row>
    <row r="492" spans="2:3">
      <c r="B492" s="37">
        <v>44917</v>
      </c>
      <c r="C492" s="36">
        <v>332.8</v>
      </c>
    </row>
    <row r="493" spans="2:3">
      <c r="B493" s="37">
        <v>44918</v>
      </c>
      <c r="C493" s="36">
        <v>326.05</v>
      </c>
    </row>
    <row r="494" spans="2:3">
      <c r="B494" s="37">
        <v>44921</v>
      </c>
      <c r="C494" s="36">
        <v>334.6</v>
      </c>
    </row>
    <row r="495" spans="2:3">
      <c r="B495" s="37">
        <v>44922</v>
      </c>
      <c r="C495" s="36">
        <v>333.05</v>
      </c>
    </row>
    <row r="496" spans="2:3">
      <c r="B496" s="37">
        <v>44923</v>
      </c>
      <c r="C496" s="36">
        <v>334.35</v>
      </c>
    </row>
    <row r="497" spans="2:3">
      <c r="B497" s="37">
        <v>44924</v>
      </c>
      <c r="C497" s="36">
        <v>335.45</v>
      </c>
    </row>
    <row r="498" spans="2:3">
      <c r="B498" s="37">
        <v>44925</v>
      </c>
      <c r="C498" s="36">
        <v>331</v>
      </c>
    </row>
    <row r="499" spans="2:3">
      <c r="B499" s="37">
        <v>44928</v>
      </c>
      <c r="C499" s="36">
        <v>332.8</v>
      </c>
    </row>
    <row r="500" spans="2:3">
      <c r="B500" s="37">
        <v>44929</v>
      </c>
      <c r="C500" s="36">
        <v>331.2</v>
      </c>
    </row>
    <row r="501" spans="2:3">
      <c r="B501" s="37">
        <v>44930</v>
      </c>
      <c r="C501" s="36">
        <v>326.60000000000002</v>
      </c>
    </row>
    <row r="502" spans="2:3">
      <c r="B502" s="37">
        <v>44931</v>
      </c>
      <c r="C502" s="36">
        <v>333.6</v>
      </c>
    </row>
    <row r="503" spans="2:3">
      <c r="B503" s="37">
        <v>44932</v>
      </c>
      <c r="C503" s="36">
        <v>335</v>
      </c>
    </row>
    <row r="504" spans="2:3">
      <c r="B504" s="37">
        <v>44935</v>
      </c>
      <c r="C504" s="36">
        <v>337.4</v>
      </c>
    </row>
    <row r="505" spans="2:3">
      <c r="B505" s="37">
        <v>44936</v>
      </c>
      <c r="C505" s="36">
        <v>333.7</v>
      </c>
    </row>
    <row r="506" spans="2:3">
      <c r="B506" s="37">
        <v>44937</v>
      </c>
      <c r="C506" s="36">
        <v>332.1</v>
      </c>
    </row>
    <row r="507" spans="2:3">
      <c r="B507" s="37">
        <v>44938</v>
      </c>
      <c r="C507" s="36">
        <v>329.5</v>
      </c>
    </row>
    <row r="508" spans="2:3">
      <c r="B508" s="37">
        <v>44939</v>
      </c>
      <c r="C508" s="36">
        <v>329.1</v>
      </c>
    </row>
    <row r="509" spans="2:3">
      <c r="B509" s="37">
        <v>44942</v>
      </c>
      <c r="C509" s="36">
        <v>330.2</v>
      </c>
    </row>
    <row r="510" spans="2:3">
      <c r="B510" s="37">
        <v>44943</v>
      </c>
      <c r="C510" s="36">
        <v>332</v>
      </c>
    </row>
    <row r="511" spans="2:3">
      <c r="B511" s="37">
        <v>44944</v>
      </c>
      <c r="C511" s="36">
        <v>335.1</v>
      </c>
    </row>
    <row r="512" spans="2:3">
      <c r="B512" s="37">
        <v>44945</v>
      </c>
      <c r="C512" s="36">
        <v>332</v>
      </c>
    </row>
    <row r="513" spans="2:3">
      <c r="B513" s="37">
        <v>44946</v>
      </c>
      <c r="C513" s="36">
        <v>334.45</v>
      </c>
    </row>
    <row r="514" spans="2:3">
      <c r="B514" s="37">
        <v>44949</v>
      </c>
      <c r="C514" s="36">
        <v>337.6</v>
      </c>
    </row>
    <row r="515" spans="2:3">
      <c r="B515" s="37">
        <v>44950</v>
      </c>
      <c r="C515" s="36">
        <v>338.9</v>
      </c>
    </row>
    <row r="516" spans="2:3">
      <c r="B516" s="37">
        <v>44951</v>
      </c>
      <c r="C516" s="36">
        <v>340</v>
      </c>
    </row>
    <row r="517" spans="2:3">
      <c r="B517" s="37">
        <v>44953</v>
      </c>
      <c r="C517" s="36">
        <v>345.5</v>
      </c>
    </row>
    <row r="518" spans="2:3">
      <c r="B518" s="37">
        <v>44956</v>
      </c>
      <c r="C518" s="36">
        <v>343.8</v>
      </c>
    </row>
    <row r="519" spans="2:3">
      <c r="B519" s="37">
        <v>44957</v>
      </c>
      <c r="C519" s="36">
        <v>352.6</v>
      </c>
    </row>
    <row r="520" spans="2:3">
      <c r="B520" s="37">
        <v>44958</v>
      </c>
      <c r="C520" s="36">
        <v>359.6</v>
      </c>
    </row>
    <row r="521" spans="2:3">
      <c r="B521" s="37">
        <v>44959</v>
      </c>
      <c r="C521" s="36">
        <v>378.8</v>
      </c>
    </row>
    <row r="522" spans="2:3">
      <c r="B522" s="37">
        <v>44960</v>
      </c>
      <c r="C522" s="36">
        <v>380.7</v>
      </c>
    </row>
    <row r="523" spans="2:3">
      <c r="B523" s="37">
        <v>44963</v>
      </c>
      <c r="C523" s="36">
        <v>383.5</v>
      </c>
    </row>
    <row r="524" spans="2:3">
      <c r="B524" s="37">
        <v>44964</v>
      </c>
      <c r="C524" s="36">
        <v>373.4</v>
      </c>
    </row>
    <row r="525" spans="2:3">
      <c r="B525" s="37">
        <v>44965</v>
      </c>
      <c r="C525" s="36">
        <v>374.55</v>
      </c>
    </row>
    <row r="526" spans="2:3">
      <c r="B526" s="37">
        <v>44966</v>
      </c>
      <c r="C526" s="36">
        <v>374.8</v>
      </c>
    </row>
    <row r="527" spans="2:3">
      <c r="B527" s="37">
        <v>44967</v>
      </c>
      <c r="C527" s="36">
        <v>371.2</v>
      </c>
    </row>
    <row r="528" spans="2:3">
      <c r="B528" s="37">
        <v>44970</v>
      </c>
      <c r="C528" s="36">
        <v>374.1</v>
      </c>
    </row>
    <row r="529" spans="2:3">
      <c r="B529" s="37">
        <v>44971</v>
      </c>
      <c r="C529" s="36">
        <v>385.95</v>
      </c>
    </row>
    <row r="530" spans="2:3">
      <c r="B530" s="37">
        <v>44972</v>
      </c>
      <c r="C530" s="36">
        <v>382.1</v>
      </c>
    </row>
    <row r="531" spans="2:3">
      <c r="B531" s="37">
        <v>44973</v>
      </c>
      <c r="C531" s="36">
        <v>382</v>
      </c>
    </row>
    <row r="532" spans="2:3">
      <c r="B532" s="37">
        <v>44974</v>
      </c>
      <c r="C532" s="36">
        <v>383.3</v>
      </c>
    </row>
    <row r="533" spans="2:3">
      <c r="B533" s="37">
        <v>44977</v>
      </c>
      <c r="C533" s="36">
        <v>383.9</v>
      </c>
    </row>
    <row r="534" spans="2:3">
      <c r="B534" s="37">
        <v>44978</v>
      </c>
      <c r="C534" s="36">
        <v>383</v>
      </c>
    </row>
    <row r="535" spans="2:3">
      <c r="B535" s="37">
        <v>44979</v>
      </c>
      <c r="C535" s="36">
        <v>384.15</v>
      </c>
    </row>
    <row r="536" spans="2:3">
      <c r="B536" s="37">
        <v>44980</v>
      </c>
      <c r="C536" s="36">
        <v>387.4</v>
      </c>
    </row>
    <row r="537" spans="2:3">
      <c r="B537" s="37">
        <v>44981</v>
      </c>
      <c r="C537" s="36">
        <v>385.25</v>
      </c>
    </row>
    <row r="538" spans="2:3">
      <c r="B538" s="37">
        <v>44984</v>
      </c>
      <c r="C538" s="36">
        <v>382.2</v>
      </c>
    </row>
    <row r="539" spans="2:3">
      <c r="B539" s="37">
        <v>44985</v>
      </c>
      <c r="C539" s="36">
        <v>376.5</v>
      </c>
    </row>
    <row r="540" spans="2:3">
      <c r="B540" s="37">
        <v>44986</v>
      </c>
      <c r="C540" s="36">
        <v>378.6</v>
      </c>
    </row>
    <row r="541" spans="2:3">
      <c r="B541" s="37">
        <v>44987</v>
      </c>
      <c r="C541" s="36">
        <v>375.85</v>
      </c>
    </row>
    <row r="542" spans="2:3">
      <c r="B542" s="37">
        <v>44988</v>
      </c>
      <c r="C542" s="36">
        <v>385.3</v>
      </c>
    </row>
    <row r="543" spans="2:3">
      <c r="B543" s="37">
        <v>44991</v>
      </c>
      <c r="C543" s="36">
        <v>388.5</v>
      </c>
    </row>
    <row r="544" spans="2:3">
      <c r="B544" s="37">
        <v>44993</v>
      </c>
      <c r="C544" s="36">
        <v>392</v>
      </c>
    </row>
    <row r="545" spans="2:3">
      <c r="B545" s="37">
        <v>44994</v>
      </c>
      <c r="C545" s="36">
        <v>387</v>
      </c>
    </row>
    <row r="546" spans="2:3">
      <c r="B546" s="37">
        <v>44995</v>
      </c>
      <c r="C546" s="36">
        <v>388.2</v>
      </c>
    </row>
    <row r="547" spans="2:3">
      <c r="B547" s="37">
        <v>44998</v>
      </c>
      <c r="C547" s="36">
        <v>386.05</v>
      </c>
    </row>
    <row r="548" spans="2:3">
      <c r="B548" s="37">
        <v>44999</v>
      </c>
      <c r="C548" s="36">
        <v>380.25</v>
      </c>
    </row>
    <row r="549" spans="2:3">
      <c r="B549" s="37">
        <v>45000</v>
      </c>
      <c r="C549" s="36">
        <v>379.15</v>
      </c>
    </row>
    <row r="550" spans="2:3">
      <c r="B550" s="37">
        <v>45001</v>
      </c>
      <c r="C550" s="36">
        <v>381.5</v>
      </c>
    </row>
    <row r="551" spans="2:3">
      <c r="B551" s="37">
        <v>45002</v>
      </c>
      <c r="C551" s="36">
        <v>376.45</v>
      </c>
    </row>
    <row r="552" spans="2:3">
      <c r="B552" s="37">
        <v>45005</v>
      </c>
      <c r="C552" s="36">
        <v>378.75</v>
      </c>
    </row>
    <row r="553" spans="2:3">
      <c r="B553" s="37">
        <v>45006</v>
      </c>
      <c r="C553" s="36">
        <v>377</v>
      </c>
    </row>
    <row r="554" spans="2:3">
      <c r="B554" s="37">
        <v>45007</v>
      </c>
      <c r="C554" s="36">
        <v>378.25</v>
      </c>
    </row>
    <row r="555" spans="2:3">
      <c r="B555" s="37">
        <v>45008</v>
      </c>
      <c r="C555" s="36">
        <v>380.2</v>
      </c>
    </row>
    <row r="556" spans="2:3">
      <c r="B556" s="37">
        <v>45009</v>
      </c>
      <c r="C556" s="36">
        <v>378.9</v>
      </c>
    </row>
    <row r="557" spans="2:3">
      <c r="B557" s="37">
        <v>45012</v>
      </c>
      <c r="C557" s="36">
        <v>380</v>
      </c>
    </row>
    <row r="558" spans="2:3">
      <c r="B558" s="37">
        <v>45013</v>
      </c>
      <c r="C558" s="36">
        <v>379.75</v>
      </c>
    </row>
    <row r="559" spans="2:3">
      <c r="B559" s="37">
        <v>45014</v>
      </c>
      <c r="C559" s="36">
        <v>383.05</v>
      </c>
    </row>
    <row r="560" spans="2:3">
      <c r="B560" s="37">
        <v>45016</v>
      </c>
      <c r="C560" s="36">
        <v>383.2</v>
      </c>
    </row>
    <row r="561" spans="2:3">
      <c r="B561" s="37">
        <v>45019</v>
      </c>
      <c r="C561" s="36">
        <v>379.2</v>
      </c>
    </row>
    <row r="562" spans="2:3">
      <c r="B562" s="37">
        <v>45021</v>
      </c>
      <c r="C562" s="36">
        <v>387</v>
      </c>
    </row>
    <row r="563" spans="2:3">
      <c r="B563" s="37">
        <v>45022</v>
      </c>
      <c r="C563" s="36">
        <v>387.5</v>
      </c>
    </row>
    <row r="564" spans="2:3">
      <c r="B564" s="37">
        <v>45026</v>
      </c>
      <c r="C564" s="36">
        <v>388</v>
      </c>
    </row>
    <row r="565" spans="2:3">
      <c r="B565" s="37">
        <v>45027</v>
      </c>
      <c r="C565" s="36">
        <v>396</v>
      </c>
    </row>
    <row r="566" spans="2:3">
      <c r="B566" s="37">
        <v>45028</v>
      </c>
      <c r="C566" s="36">
        <v>393.95</v>
      </c>
    </row>
    <row r="567" spans="2:3">
      <c r="B567" s="37">
        <v>45029</v>
      </c>
      <c r="C567" s="36">
        <v>395.7</v>
      </c>
    </row>
    <row r="568" spans="2:3">
      <c r="B568" s="37">
        <v>45033</v>
      </c>
      <c r="C568" s="36">
        <v>399.9</v>
      </c>
    </row>
    <row r="569" spans="2:3">
      <c r="B569" s="37">
        <v>45034</v>
      </c>
      <c r="C569" s="36">
        <v>398.5</v>
      </c>
    </row>
    <row r="570" spans="2:3">
      <c r="B570" s="37">
        <v>45035</v>
      </c>
      <c r="C570" s="36">
        <v>398.2</v>
      </c>
    </row>
    <row r="571" spans="2:3">
      <c r="B571" s="37">
        <v>45036</v>
      </c>
      <c r="C571" s="36">
        <v>400.3</v>
      </c>
    </row>
    <row r="572" spans="2:3">
      <c r="B572" s="37">
        <v>45037</v>
      </c>
      <c r="C572" s="36">
        <v>408</v>
      </c>
    </row>
    <row r="573" spans="2:3">
      <c r="B573" s="37">
        <v>45040</v>
      </c>
      <c r="C573" s="36">
        <v>408.3</v>
      </c>
    </row>
    <row r="574" spans="2:3">
      <c r="B574" s="37">
        <v>45041</v>
      </c>
      <c r="C574" s="36">
        <v>411.25</v>
      </c>
    </row>
    <row r="575" spans="2:3">
      <c r="B575" s="37">
        <v>45042</v>
      </c>
      <c r="C575" s="36">
        <v>411.75</v>
      </c>
    </row>
    <row r="576" spans="2:3">
      <c r="B576" s="37">
        <v>45043</v>
      </c>
      <c r="C576" s="36">
        <v>416</v>
      </c>
    </row>
    <row r="577" spans="2:3">
      <c r="B577" s="37">
        <v>45044</v>
      </c>
      <c r="C577" s="36">
        <v>426.2</v>
      </c>
    </row>
    <row r="578" spans="2:3">
      <c r="B578" s="37">
        <v>45048</v>
      </c>
      <c r="C578" s="36">
        <v>424.8</v>
      </c>
    </row>
    <row r="579" spans="2:3">
      <c r="B579" s="37">
        <v>45049</v>
      </c>
      <c r="C579" s="36">
        <v>426.95</v>
      </c>
    </row>
    <row r="580" spans="2:3">
      <c r="B580" s="37">
        <v>45050</v>
      </c>
      <c r="C580" s="36">
        <v>424.15</v>
      </c>
    </row>
    <row r="581" spans="2:3">
      <c r="B581" s="37">
        <v>45051</v>
      </c>
      <c r="C581" s="36">
        <v>429.3</v>
      </c>
    </row>
    <row r="582" spans="2:3">
      <c r="B582" s="37">
        <v>45054</v>
      </c>
      <c r="C582" s="36">
        <v>432.1</v>
      </c>
    </row>
    <row r="583" spans="2:3">
      <c r="B583" s="37">
        <v>45055</v>
      </c>
      <c r="C583" s="36">
        <v>424.1</v>
      </c>
    </row>
    <row r="584" spans="2:3">
      <c r="B584" s="37">
        <v>45056</v>
      </c>
      <c r="C584" s="36">
        <v>424.6</v>
      </c>
    </row>
    <row r="585" spans="2:3">
      <c r="B585" s="37">
        <v>45057</v>
      </c>
      <c r="C585" s="36">
        <v>421.25</v>
      </c>
    </row>
    <row r="586" spans="2:3">
      <c r="B586" s="37">
        <v>45058</v>
      </c>
      <c r="C586" s="36">
        <v>420.15</v>
      </c>
    </row>
    <row r="587" spans="2:3">
      <c r="B587" s="37">
        <v>45061</v>
      </c>
      <c r="C587" s="36">
        <v>428.4</v>
      </c>
    </row>
    <row r="588" spans="2:3">
      <c r="B588" s="37">
        <v>45062</v>
      </c>
      <c r="C588" s="36">
        <v>424.45</v>
      </c>
    </row>
    <row r="589" spans="2:3">
      <c r="B589" s="37">
        <v>45063</v>
      </c>
      <c r="C589" s="36">
        <v>428.05</v>
      </c>
    </row>
    <row r="590" spans="2:3">
      <c r="B590" s="37">
        <v>45064</v>
      </c>
      <c r="C590" s="36">
        <v>418.85</v>
      </c>
    </row>
    <row r="591" spans="2:3">
      <c r="B591" s="37">
        <v>45065</v>
      </c>
      <c r="C591" s="36">
        <v>420.1</v>
      </c>
    </row>
    <row r="592" spans="2:3">
      <c r="B592" s="37">
        <v>45068</v>
      </c>
      <c r="C592" s="36">
        <v>425.1</v>
      </c>
    </row>
    <row r="593" spans="2:3">
      <c r="B593" s="37">
        <v>45069</v>
      </c>
      <c r="C593" s="36">
        <v>429.4</v>
      </c>
    </row>
    <row r="594" spans="2:3">
      <c r="B594" s="37">
        <v>45070</v>
      </c>
      <c r="C594" s="36">
        <v>434</v>
      </c>
    </row>
    <row r="595" spans="2:3">
      <c r="B595" s="37">
        <v>45071</v>
      </c>
      <c r="C595" s="36">
        <v>441.75</v>
      </c>
    </row>
    <row r="596" spans="2:3">
      <c r="B596" s="37">
        <v>45072</v>
      </c>
      <c r="C596" s="36">
        <v>443.95</v>
      </c>
    </row>
    <row r="597" spans="2:3">
      <c r="B597" s="37">
        <v>45075</v>
      </c>
      <c r="C597" s="36">
        <v>448.95</v>
      </c>
    </row>
    <row r="598" spans="2:3">
      <c r="B598" s="37">
        <v>45076</v>
      </c>
      <c r="C598" s="36">
        <v>449.95</v>
      </c>
    </row>
    <row r="599" spans="2:3">
      <c r="B599" s="37">
        <v>45077</v>
      </c>
      <c r="C599" s="36">
        <v>446</v>
      </c>
    </row>
    <row r="600" spans="2:3">
      <c r="B600" s="37">
        <v>45078</v>
      </c>
      <c r="C600" s="36">
        <v>440.1</v>
      </c>
    </row>
    <row r="601" spans="2:3">
      <c r="B601" s="37">
        <v>45079</v>
      </c>
      <c r="C601" s="36">
        <v>442.95</v>
      </c>
    </row>
    <row r="602" spans="2:3">
      <c r="B602" s="37">
        <v>45082</v>
      </c>
      <c r="C602" s="36">
        <v>441.3</v>
      </c>
    </row>
    <row r="603" spans="2:3">
      <c r="B603" s="37">
        <v>45083</v>
      </c>
      <c r="C603" s="36">
        <v>443.45</v>
      </c>
    </row>
    <row r="604" spans="2:3">
      <c r="B604" s="37">
        <v>45084</v>
      </c>
      <c r="C604" s="36">
        <v>444.1</v>
      </c>
    </row>
    <row r="605" spans="2:3">
      <c r="B605" s="37">
        <v>45085</v>
      </c>
      <c r="C605" s="36">
        <v>443.1</v>
      </c>
    </row>
    <row r="606" spans="2:3">
      <c r="B606" s="37">
        <v>45086</v>
      </c>
      <c r="C606" s="36">
        <v>438.95</v>
      </c>
    </row>
    <row r="607" spans="2:3">
      <c r="B607" s="37">
        <v>45089</v>
      </c>
      <c r="C607" s="36">
        <v>437.5</v>
      </c>
    </row>
    <row r="608" spans="2:3">
      <c r="B608" s="37">
        <v>45090</v>
      </c>
      <c r="C608" s="36">
        <v>445.9</v>
      </c>
    </row>
    <row r="609" spans="2:3">
      <c r="B609" s="37">
        <v>45091</v>
      </c>
      <c r="C609" s="36">
        <v>444.85</v>
      </c>
    </row>
    <row r="610" spans="2:3">
      <c r="B610" s="37">
        <v>45092</v>
      </c>
      <c r="C610" s="36">
        <v>448</v>
      </c>
    </row>
    <row r="611" spans="2:3">
      <c r="B611" s="37">
        <v>45093</v>
      </c>
      <c r="C611" s="36">
        <v>453.5</v>
      </c>
    </row>
    <row r="612" spans="2:3">
      <c r="B612" s="37">
        <v>45096</v>
      </c>
      <c r="C612" s="36">
        <v>453.75</v>
      </c>
    </row>
    <row r="613" spans="2:3">
      <c r="B613" s="37">
        <v>45097</v>
      </c>
      <c r="C613" s="36">
        <v>453.2</v>
      </c>
    </row>
    <row r="614" spans="2:3">
      <c r="B614" s="37">
        <v>45098</v>
      </c>
      <c r="C614" s="36">
        <v>448</v>
      </c>
    </row>
    <row r="615" spans="2:3">
      <c r="B615" s="37">
        <v>45099</v>
      </c>
      <c r="C615" s="36">
        <v>447.75</v>
      </c>
    </row>
    <row r="616" spans="2:3">
      <c r="B616" s="37">
        <v>45100</v>
      </c>
      <c r="C616" s="36">
        <v>445.1</v>
      </c>
    </row>
    <row r="617" spans="2:3">
      <c r="B617" s="37">
        <v>45103</v>
      </c>
      <c r="C617" s="36">
        <v>445.3</v>
      </c>
    </row>
    <row r="618" spans="2:3">
      <c r="B618" s="37">
        <v>45104</v>
      </c>
      <c r="C618" s="36">
        <v>445.45</v>
      </c>
    </row>
    <row r="619" spans="2:3">
      <c r="B619" s="37">
        <v>45105</v>
      </c>
      <c r="C619" s="36">
        <v>449</v>
      </c>
    </row>
    <row r="620" spans="2:3">
      <c r="B620" s="37">
        <v>45107</v>
      </c>
      <c r="C620" s="36">
        <v>451.5</v>
      </c>
    </row>
    <row r="621" spans="2:3">
      <c r="B621" s="37">
        <v>45110</v>
      </c>
      <c r="C621" s="36">
        <v>465.9</v>
      </c>
    </row>
    <row r="622" spans="2:3">
      <c r="B622" s="37">
        <v>45111</v>
      </c>
      <c r="C622" s="36">
        <v>465.7</v>
      </c>
    </row>
    <row r="623" spans="2:3">
      <c r="B623" s="37">
        <v>45112</v>
      </c>
      <c r="C623" s="36">
        <v>475.05</v>
      </c>
    </row>
    <row r="624" spans="2:3">
      <c r="B624" s="37">
        <v>45113</v>
      </c>
      <c r="C624" s="36">
        <v>474.5</v>
      </c>
    </row>
    <row r="625" spans="2:3">
      <c r="B625" s="37">
        <v>45114</v>
      </c>
      <c r="C625" s="36">
        <v>469.5</v>
      </c>
    </row>
    <row r="626" spans="2:3">
      <c r="B626" s="37">
        <v>45117</v>
      </c>
      <c r="C626" s="36">
        <v>467</v>
      </c>
    </row>
    <row r="627" spans="2:3">
      <c r="B627" s="37">
        <v>45118</v>
      </c>
      <c r="C627" s="36">
        <v>473.45</v>
      </c>
    </row>
    <row r="628" spans="2:3">
      <c r="B628" s="37">
        <v>45119</v>
      </c>
      <c r="C628" s="36">
        <v>471.95</v>
      </c>
    </row>
    <row r="629" spans="2:3">
      <c r="B629" s="37">
        <v>45120</v>
      </c>
      <c r="C629" s="36">
        <v>472.35</v>
      </c>
    </row>
    <row r="630" spans="2:3">
      <c r="B630" s="37">
        <v>45121</v>
      </c>
      <c r="C630" s="36">
        <v>473.55</v>
      </c>
    </row>
    <row r="631" spans="2:3">
      <c r="B631" s="37">
        <v>45124</v>
      </c>
      <c r="C631" s="36">
        <v>472.4</v>
      </c>
    </row>
    <row r="632" spans="2:3">
      <c r="B632" s="37">
        <v>45125</v>
      </c>
      <c r="C632" s="36">
        <v>472.65</v>
      </c>
    </row>
    <row r="633" spans="2:3">
      <c r="B633" s="37">
        <v>45126</v>
      </c>
      <c r="C633" s="36">
        <v>479.15</v>
      </c>
    </row>
    <row r="634" spans="2:3">
      <c r="B634" s="37">
        <v>45127</v>
      </c>
      <c r="C634" s="36">
        <v>491.5</v>
      </c>
    </row>
    <row r="635" spans="2:3">
      <c r="B635" s="37">
        <v>45128</v>
      </c>
      <c r="C635" s="36">
        <v>493.45</v>
      </c>
    </row>
    <row r="636" spans="2:3">
      <c r="B636" s="37">
        <v>45131</v>
      </c>
      <c r="C636" s="36">
        <v>469.35</v>
      </c>
    </row>
    <row r="637" spans="2:3">
      <c r="B637" s="37">
        <v>45132</v>
      </c>
      <c r="C637" s="36">
        <v>461.35</v>
      </c>
    </row>
    <row r="638" spans="2:3">
      <c r="B638" s="37">
        <v>45133</v>
      </c>
      <c r="C638" s="36">
        <v>472.4</v>
      </c>
    </row>
    <row r="639" spans="2:3">
      <c r="B639" s="37">
        <v>45134</v>
      </c>
      <c r="C639" s="36">
        <v>467.15</v>
      </c>
    </row>
    <row r="640" spans="2:3">
      <c r="B640" s="37">
        <v>45135</v>
      </c>
      <c r="C640" s="36">
        <v>467.65</v>
      </c>
    </row>
    <row r="641" spans="2:3">
      <c r="B641" s="37">
        <v>45138</v>
      </c>
      <c r="C641" s="36">
        <v>465.25</v>
      </c>
    </row>
    <row r="642" spans="2:3">
      <c r="B642" s="37">
        <v>45139</v>
      </c>
      <c r="C642" s="36">
        <v>465.5</v>
      </c>
    </row>
    <row r="643" spans="2:3">
      <c r="B643" s="37">
        <v>45140</v>
      </c>
      <c r="C643" s="36">
        <v>460</v>
      </c>
    </row>
    <row r="644" spans="2:3">
      <c r="B644" s="37">
        <v>45141</v>
      </c>
      <c r="C644" s="36">
        <v>456.3</v>
      </c>
    </row>
    <row r="645" spans="2:3">
      <c r="B645" s="37">
        <v>45142</v>
      </c>
      <c r="C645" s="36">
        <v>455.25</v>
      </c>
    </row>
    <row r="646" spans="2:3">
      <c r="B646" s="37">
        <v>45145</v>
      </c>
      <c r="C646" s="36">
        <v>454.95</v>
      </c>
    </row>
    <row r="647" spans="2:3">
      <c r="B647" s="37">
        <v>45146</v>
      </c>
      <c r="C647" s="36">
        <v>452.3</v>
      </c>
    </row>
    <row r="648" spans="2:3">
      <c r="B648" s="37">
        <v>45147</v>
      </c>
      <c r="C648" s="36">
        <v>459</v>
      </c>
    </row>
    <row r="649" spans="2:3">
      <c r="B649" s="37">
        <v>45148</v>
      </c>
      <c r="C649" s="36">
        <v>452.95</v>
      </c>
    </row>
    <row r="650" spans="2:3">
      <c r="B650" s="37">
        <v>45149</v>
      </c>
      <c r="C650" s="36">
        <v>448</v>
      </c>
    </row>
    <row r="651" spans="2:3">
      <c r="B651" s="37">
        <v>45152</v>
      </c>
      <c r="C651" s="36">
        <v>447.8</v>
      </c>
    </row>
    <row r="652" spans="2:3">
      <c r="B652" s="37">
        <v>45154</v>
      </c>
      <c r="C652" s="36">
        <v>449</v>
      </c>
    </row>
    <row r="653" spans="2:3">
      <c r="B653" s="37">
        <v>45155</v>
      </c>
      <c r="C653" s="36">
        <v>440.95</v>
      </c>
    </row>
    <row r="654" spans="2:3">
      <c r="B654" s="37">
        <v>45156</v>
      </c>
      <c r="C654" s="36">
        <v>441</v>
      </c>
    </row>
    <row r="655" spans="2:3">
      <c r="B655" s="37">
        <v>45159</v>
      </c>
      <c r="C655" s="36">
        <v>448</v>
      </c>
    </row>
    <row r="656" spans="2:3">
      <c r="B656" s="37">
        <v>45160</v>
      </c>
      <c r="C656" s="36">
        <v>454.4</v>
      </c>
    </row>
    <row r="657" spans="2:3">
      <c r="B657" s="37">
        <v>45161</v>
      </c>
      <c r="C657" s="36">
        <v>450.6</v>
      </c>
    </row>
    <row r="658" spans="2:3">
      <c r="B658" s="37">
        <v>45162</v>
      </c>
      <c r="C658" s="36">
        <v>451.2</v>
      </c>
    </row>
    <row r="659" spans="2:3">
      <c r="B659" s="37">
        <v>45163</v>
      </c>
      <c r="C659" s="36">
        <v>443.5</v>
      </c>
    </row>
    <row r="660" spans="2:3">
      <c r="B660" s="37">
        <v>45166</v>
      </c>
      <c r="C660" s="36">
        <v>441</v>
      </c>
    </row>
    <row r="661" spans="2:3">
      <c r="B661" s="37">
        <v>45167</v>
      </c>
      <c r="C661" s="36">
        <v>440.7</v>
      </c>
    </row>
    <row r="662" spans="2:3">
      <c r="B662" s="37">
        <v>45168</v>
      </c>
      <c r="C662" s="36">
        <v>443.1</v>
      </c>
    </row>
    <row r="663" spans="2:3">
      <c r="B663" s="37">
        <v>45169</v>
      </c>
      <c r="C663" s="36">
        <v>439.5</v>
      </c>
    </row>
    <row r="664" spans="2:3">
      <c r="B664" s="37">
        <v>45170</v>
      </c>
      <c r="C664" s="36">
        <v>440</v>
      </c>
    </row>
    <row r="665" spans="2:3">
      <c r="B665" s="37">
        <v>45173</v>
      </c>
      <c r="C665" s="36">
        <v>437.5</v>
      </c>
    </row>
    <row r="666" spans="2:3">
      <c r="B666" s="37">
        <v>45174</v>
      </c>
      <c r="C666" s="36">
        <v>444.15</v>
      </c>
    </row>
    <row r="667" spans="2:3">
      <c r="B667" s="37">
        <v>45175</v>
      </c>
      <c r="C667" s="36">
        <v>448</v>
      </c>
    </row>
    <row r="668" spans="2:3">
      <c r="B668" s="37">
        <v>45176</v>
      </c>
      <c r="C668" s="36">
        <v>446</v>
      </c>
    </row>
    <row r="669" spans="2:3">
      <c r="B669" s="37">
        <v>45177</v>
      </c>
      <c r="C669" s="36">
        <v>442.7</v>
      </c>
    </row>
    <row r="670" spans="2:3">
      <c r="B670" s="37">
        <v>45180</v>
      </c>
      <c r="C670" s="36">
        <v>447.95</v>
      </c>
    </row>
    <row r="671" spans="2:3">
      <c r="B671" s="37">
        <v>45181</v>
      </c>
      <c r="C671" s="36">
        <v>451</v>
      </c>
    </row>
    <row r="672" spans="2:3">
      <c r="B672" s="37">
        <v>45182</v>
      </c>
      <c r="C672" s="36">
        <v>453.3</v>
      </c>
    </row>
    <row r="673" spans="2:3">
      <c r="B673" s="37">
        <v>45183</v>
      </c>
      <c r="C673" s="36">
        <v>450.35</v>
      </c>
    </row>
    <row r="674" spans="2:3">
      <c r="B674" s="37">
        <v>45184</v>
      </c>
      <c r="C674" s="36">
        <v>447.9</v>
      </c>
    </row>
    <row r="675" spans="2:3">
      <c r="B675" s="37">
        <v>45187</v>
      </c>
      <c r="C675" s="36">
        <v>451.95</v>
      </c>
    </row>
    <row r="676" spans="2:3">
      <c r="B676" s="37">
        <v>45189</v>
      </c>
      <c r="C676" s="36">
        <v>452.85</v>
      </c>
    </row>
    <row r="677" spans="2:3">
      <c r="B677" s="37">
        <v>45190</v>
      </c>
      <c r="C677" s="36">
        <v>447.5</v>
      </c>
    </row>
    <row r="678" spans="2:3">
      <c r="B678" s="37">
        <v>45191</v>
      </c>
      <c r="C678" s="36">
        <v>442.5</v>
      </c>
    </row>
    <row r="679" spans="2:3">
      <c r="B679" s="37">
        <v>45194</v>
      </c>
      <c r="C679" s="36">
        <v>443.1</v>
      </c>
    </row>
    <row r="680" spans="2:3">
      <c r="B680" s="37">
        <v>45195</v>
      </c>
      <c r="C680" s="36">
        <v>442.8</v>
      </c>
    </row>
    <row r="681" spans="2:3">
      <c r="B681" s="37">
        <v>45196</v>
      </c>
      <c r="C681" s="36">
        <v>449.35</v>
      </c>
    </row>
    <row r="682" spans="2:3">
      <c r="B682" s="37">
        <v>45197</v>
      </c>
      <c r="C682" s="36">
        <v>441.15</v>
      </c>
    </row>
    <row r="683" spans="2:3">
      <c r="B683" s="37">
        <v>45198</v>
      </c>
      <c r="C683" s="36">
        <v>443.5</v>
      </c>
    </row>
    <row r="684" spans="2:3">
      <c r="B684" s="37">
        <v>45202</v>
      </c>
      <c r="C684" s="36">
        <v>439.65</v>
      </c>
    </row>
    <row r="685" spans="2:3">
      <c r="B685" s="37">
        <v>45203</v>
      </c>
      <c r="C685" s="36">
        <v>435.35</v>
      </c>
    </row>
    <row r="686" spans="2:3">
      <c r="B686" s="37">
        <v>45204</v>
      </c>
      <c r="C686" s="36">
        <v>436.6</v>
      </c>
    </row>
    <row r="687" spans="2:3">
      <c r="B687" s="37">
        <v>45205</v>
      </c>
      <c r="C687" s="36">
        <v>442.6</v>
      </c>
    </row>
    <row r="688" spans="2:3">
      <c r="B688" s="37">
        <v>45208</v>
      </c>
      <c r="C688" s="36">
        <v>439.65</v>
      </c>
    </row>
    <row r="689" spans="2:3">
      <c r="B689" s="37">
        <v>45209</v>
      </c>
      <c r="C689" s="36">
        <v>444.7</v>
      </c>
    </row>
    <row r="690" spans="2:3">
      <c r="B690" s="37">
        <v>45210</v>
      </c>
      <c r="C690" s="36">
        <v>447.5</v>
      </c>
    </row>
    <row r="691" spans="2:3">
      <c r="B691" s="37">
        <v>45211</v>
      </c>
      <c r="C691" s="36">
        <v>451</v>
      </c>
    </row>
    <row r="692" spans="2:3">
      <c r="B692" s="37">
        <v>45212</v>
      </c>
      <c r="C692" s="36">
        <v>448</v>
      </c>
    </row>
    <row r="693" spans="2:3">
      <c r="B693" s="37">
        <v>45215</v>
      </c>
      <c r="C693" s="36">
        <v>448.2</v>
      </c>
    </row>
    <row r="694" spans="2:3">
      <c r="B694" s="37">
        <v>45216</v>
      </c>
      <c r="C694" s="36">
        <v>453.5</v>
      </c>
    </row>
    <row r="695" spans="2:3">
      <c r="B695" s="37">
        <v>45217</v>
      </c>
      <c r="C695" s="36">
        <v>451.7</v>
      </c>
    </row>
    <row r="696" spans="2:3">
      <c r="B696" s="37">
        <v>45218</v>
      </c>
      <c r="C696" s="36">
        <v>450.05</v>
      </c>
    </row>
    <row r="697" spans="2:3">
      <c r="B697" s="37">
        <v>45219</v>
      </c>
      <c r="C697" s="36">
        <v>438</v>
      </c>
    </row>
    <row r="698" spans="2:3">
      <c r="B698" s="37">
        <v>45222</v>
      </c>
      <c r="C698" s="36">
        <v>434.6</v>
      </c>
    </row>
    <row r="699" spans="2:3">
      <c r="B699" s="37">
        <v>45224</v>
      </c>
      <c r="C699" s="36">
        <v>432.3</v>
      </c>
    </row>
    <row r="700" spans="2:3">
      <c r="B700" s="37">
        <v>45225</v>
      </c>
      <c r="C700" s="36">
        <v>432.65</v>
      </c>
    </row>
    <row r="701" spans="2:3">
      <c r="B701" s="37">
        <v>45226</v>
      </c>
      <c r="C701" s="36">
        <v>433.9</v>
      </c>
    </row>
    <row r="702" spans="2:3">
      <c r="B702" s="37">
        <v>45229</v>
      </c>
      <c r="C702" s="36">
        <v>431.5</v>
      </c>
    </row>
    <row r="703" spans="2:3">
      <c r="B703" s="37">
        <v>45230</v>
      </c>
      <c r="C703" s="36">
        <v>428.45</v>
      </c>
    </row>
    <row r="704" spans="2:3">
      <c r="B704" s="37">
        <v>45231</v>
      </c>
      <c r="C704" s="36">
        <v>430.35</v>
      </c>
    </row>
    <row r="705" spans="2:3">
      <c r="B705" s="37">
        <v>45232</v>
      </c>
      <c r="C705" s="36">
        <v>430.8</v>
      </c>
    </row>
    <row r="706" spans="2:3">
      <c r="B706" s="37">
        <v>45233</v>
      </c>
      <c r="C706" s="36">
        <v>432.1</v>
      </c>
    </row>
    <row r="707" spans="2:3">
      <c r="B707" s="37">
        <v>45236</v>
      </c>
      <c r="C707" s="36">
        <v>434.9</v>
      </c>
    </row>
    <row r="708" spans="2:3">
      <c r="B708" s="37">
        <v>45237</v>
      </c>
      <c r="C708" s="36">
        <v>432.95</v>
      </c>
    </row>
    <row r="709" spans="2:3">
      <c r="B709" s="37">
        <v>45238</v>
      </c>
      <c r="C709" s="36">
        <v>437</v>
      </c>
    </row>
    <row r="710" spans="2:3">
      <c r="B710" s="37">
        <v>45239</v>
      </c>
      <c r="C710" s="36">
        <v>434.45</v>
      </c>
    </row>
    <row r="711" spans="2:3">
      <c r="B711" s="37">
        <v>45240</v>
      </c>
      <c r="C711" s="36">
        <v>437.95</v>
      </c>
    </row>
    <row r="712" spans="2:3">
      <c r="B712" s="37">
        <v>45242</v>
      </c>
      <c r="C712" s="36">
        <v>438.75</v>
      </c>
    </row>
    <row r="713" spans="2:3">
      <c r="B713" s="37">
        <v>45243</v>
      </c>
      <c r="C713" s="36">
        <v>435.95</v>
      </c>
    </row>
    <row r="714" spans="2:3">
      <c r="B714" s="37">
        <v>45245</v>
      </c>
      <c r="C714" s="36">
        <v>442</v>
      </c>
    </row>
    <row r="715" spans="2:3">
      <c r="B715" s="37">
        <v>45246</v>
      </c>
      <c r="C715" s="36">
        <v>439.2</v>
      </c>
    </row>
    <row r="716" spans="2:3">
      <c r="B716" s="37">
        <v>45247</v>
      </c>
      <c r="C716" s="36">
        <v>438.85</v>
      </c>
    </row>
    <row r="717" spans="2:3">
      <c r="B717" s="37">
        <v>45250</v>
      </c>
      <c r="C717" s="36">
        <v>436.3</v>
      </c>
    </row>
    <row r="718" spans="2:3">
      <c r="B718" s="37">
        <v>45251</v>
      </c>
      <c r="C718" s="36">
        <v>436.2</v>
      </c>
    </row>
    <row r="719" spans="2:3">
      <c r="B719" s="37">
        <v>45252</v>
      </c>
      <c r="C719" s="36">
        <v>440.15</v>
      </c>
    </row>
    <row r="720" spans="2:3">
      <c r="B720" s="37">
        <v>45253</v>
      </c>
      <c r="C720" s="36">
        <v>440.9</v>
      </c>
    </row>
    <row r="721" spans="2:3">
      <c r="B721" s="37">
        <v>45254</v>
      </c>
      <c r="C721" s="36">
        <v>437.9</v>
      </c>
    </row>
    <row r="722" spans="2:3">
      <c r="B722" s="37">
        <v>45258</v>
      </c>
      <c r="C722" s="36">
        <v>435.9</v>
      </c>
    </row>
    <row r="723" spans="2:3">
      <c r="B723" s="37">
        <v>45259</v>
      </c>
      <c r="C723" s="36">
        <v>436.9</v>
      </c>
    </row>
    <row r="724" spans="2:3">
      <c r="B724" s="37">
        <v>45260</v>
      </c>
      <c r="C724" s="36">
        <v>436.75</v>
      </c>
    </row>
    <row r="725" spans="2:3">
      <c r="B725" s="37">
        <v>45261</v>
      </c>
      <c r="C725" s="36">
        <v>449.15</v>
      </c>
    </row>
    <row r="726" spans="2:3">
      <c r="B726" s="37">
        <v>45264</v>
      </c>
      <c r="C726" s="36">
        <v>453.1</v>
      </c>
    </row>
    <row r="727" spans="2:3">
      <c r="B727" s="37">
        <v>45265</v>
      </c>
      <c r="C727" s="36">
        <v>452.4</v>
      </c>
    </row>
    <row r="728" spans="2:3">
      <c r="B728" s="37">
        <v>45266</v>
      </c>
      <c r="C728" s="36">
        <v>463.45</v>
      </c>
    </row>
    <row r="729" spans="2:3">
      <c r="B729" s="37">
        <v>45267</v>
      </c>
      <c r="C729" s="36">
        <v>458.2</v>
      </c>
    </row>
    <row r="730" spans="2:3">
      <c r="B730" s="37">
        <v>45268</v>
      </c>
      <c r="C730" s="36">
        <v>450</v>
      </c>
    </row>
    <row r="731" spans="2:3">
      <c r="B731" s="37">
        <v>45271</v>
      </c>
      <c r="C731" s="36">
        <v>453.2</v>
      </c>
    </row>
    <row r="732" spans="2:3">
      <c r="B732" s="37">
        <v>45272</v>
      </c>
      <c r="C732" s="36">
        <v>453.6</v>
      </c>
    </row>
    <row r="733" spans="2:3">
      <c r="B733" s="37">
        <v>45273</v>
      </c>
      <c r="C733" s="36">
        <v>455.6</v>
      </c>
    </row>
    <row r="734" spans="2:3">
      <c r="B734" s="37">
        <v>45274</v>
      </c>
      <c r="C734" s="36">
        <v>458.3</v>
      </c>
    </row>
    <row r="735" spans="2:3">
      <c r="B735" s="37">
        <v>45275</v>
      </c>
      <c r="C735" s="36">
        <v>458.55</v>
      </c>
    </row>
    <row r="736" spans="2:3">
      <c r="B736" s="37">
        <v>45278</v>
      </c>
      <c r="C736" s="36">
        <v>451.95</v>
      </c>
    </row>
    <row r="737" spans="2:3">
      <c r="B737" s="37">
        <v>45279</v>
      </c>
      <c r="C737" s="36">
        <v>456.45</v>
      </c>
    </row>
    <row r="738" spans="2:3">
      <c r="B738" s="37">
        <v>45280</v>
      </c>
      <c r="C738" s="36">
        <v>450.15</v>
      </c>
    </row>
    <row r="739" spans="2:3">
      <c r="B739" s="37">
        <v>45281</v>
      </c>
      <c r="C739" s="36">
        <v>452</v>
      </c>
    </row>
    <row r="740" spans="2:3">
      <c r="B740" s="37">
        <v>45282</v>
      </c>
      <c r="C740" s="36">
        <v>454.2</v>
      </c>
    </row>
    <row r="741" spans="2:3">
      <c r="B741" s="37">
        <v>45286</v>
      </c>
      <c r="C741" s="36">
        <v>457.05</v>
      </c>
    </row>
    <row r="742" spans="2:3">
      <c r="B742" s="37">
        <v>45287</v>
      </c>
      <c r="C742" s="36">
        <v>456.6</v>
      </c>
    </row>
    <row r="743" spans="2:3">
      <c r="B743" s="37">
        <v>45288</v>
      </c>
      <c r="C743" s="36">
        <v>463.95</v>
      </c>
    </row>
    <row r="744" spans="2:3">
      <c r="B744" s="37">
        <v>45289</v>
      </c>
      <c r="C744" s="36">
        <v>462</v>
      </c>
    </row>
    <row r="745" spans="2:3">
      <c r="B745" s="37">
        <v>45292</v>
      </c>
      <c r="C745" s="36">
        <v>465.8</v>
      </c>
    </row>
    <row r="746" spans="2:3">
      <c r="B746" s="37">
        <v>45293</v>
      </c>
      <c r="C746" s="36">
        <v>470.15</v>
      </c>
    </row>
    <row r="747" spans="2:3">
      <c r="B747" s="37">
        <v>45294</v>
      </c>
      <c r="C747" s="36">
        <v>477.45</v>
      </c>
    </row>
    <row r="748" spans="2:3">
      <c r="B748" s="37">
        <v>45295</v>
      </c>
      <c r="C748" s="36">
        <v>475.5</v>
      </c>
    </row>
    <row r="749" spans="2:3">
      <c r="B749" s="37">
        <v>45296</v>
      </c>
      <c r="C749" s="36">
        <v>473.8</v>
      </c>
    </row>
    <row r="750" spans="2:3">
      <c r="B750" s="37">
        <v>45299</v>
      </c>
      <c r="C750" s="36">
        <v>465.35</v>
      </c>
    </row>
    <row r="751" spans="2:3">
      <c r="B751" s="37">
        <v>45300</v>
      </c>
      <c r="C751" s="36">
        <v>464.2</v>
      </c>
    </row>
    <row r="752" spans="2:3">
      <c r="B752" s="37">
        <v>45301</v>
      </c>
      <c r="C752" s="36">
        <v>463.5</v>
      </c>
    </row>
    <row r="753" spans="2:3">
      <c r="B753" s="37">
        <v>45302</v>
      </c>
      <c r="C753" s="36">
        <v>463.25</v>
      </c>
    </row>
    <row r="754" spans="2:3">
      <c r="B754" s="37">
        <v>45303</v>
      </c>
      <c r="C754" s="36">
        <v>467.4</v>
      </c>
    </row>
    <row r="755" spans="2:3">
      <c r="B755" s="37">
        <v>45306</v>
      </c>
      <c r="C755" s="36">
        <v>467.55</v>
      </c>
    </row>
    <row r="756" spans="2:3">
      <c r="B756" s="37">
        <v>45307</v>
      </c>
      <c r="C756" s="36">
        <v>475</v>
      </c>
    </row>
    <row r="757" spans="2:3">
      <c r="B757" s="37">
        <v>45308</v>
      </c>
      <c r="C757" s="36">
        <v>467.3</v>
      </c>
    </row>
    <row r="758" spans="2:3">
      <c r="B758" s="37">
        <v>45309</v>
      </c>
      <c r="C758" s="36">
        <v>466.45</v>
      </c>
    </row>
    <row r="759" spans="2:3">
      <c r="B759" s="37">
        <v>45310</v>
      </c>
      <c r="C759" s="36">
        <v>472</v>
      </c>
    </row>
    <row r="760" spans="2:3">
      <c r="B760" s="37">
        <v>45311</v>
      </c>
      <c r="C760" s="36">
        <v>468.3</v>
      </c>
    </row>
    <row r="761" spans="2:3">
      <c r="B761" s="37">
        <v>45314</v>
      </c>
      <c r="C761" s="36">
        <v>459.85</v>
      </c>
    </row>
    <row r="762" spans="2:3">
      <c r="B762" s="37">
        <v>45315</v>
      </c>
      <c r="C762" s="36">
        <v>461.8</v>
      </c>
    </row>
    <row r="763" spans="2:3">
      <c r="B763" s="37">
        <v>45316</v>
      </c>
      <c r="C763" s="36">
        <v>457.5</v>
      </c>
    </row>
    <row r="764" spans="2:3">
      <c r="B764" s="37">
        <v>45320</v>
      </c>
      <c r="C764" s="36">
        <v>448.7</v>
      </c>
    </row>
    <row r="765" spans="2:3">
      <c r="B765" s="37">
        <v>45321</v>
      </c>
      <c r="C765" s="36">
        <v>438.25</v>
      </c>
    </row>
    <row r="766" spans="2:3">
      <c r="B766" s="37">
        <v>45322</v>
      </c>
      <c r="C766" s="36">
        <v>441.75</v>
      </c>
    </row>
    <row r="767" spans="2:3">
      <c r="B767" s="37">
        <v>45323</v>
      </c>
      <c r="C767" s="36">
        <v>442.4</v>
      </c>
    </row>
    <row r="768" spans="2:3">
      <c r="B768" s="37">
        <v>45324</v>
      </c>
      <c r="C768" s="36">
        <v>440.6</v>
      </c>
    </row>
    <row r="769" spans="2:3">
      <c r="B769" s="37">
        <v>45327</v>
      </c>
      <c r="C769" s="36">
        <v>438.15</v>
      </c>
    </row>
    <row r="770" spans="2:3">
      <c r="B770" s="37">
        <v>45328</v>
      </c>
      <c r="C770" s="36">
        <v>431.9</v>
      </c>
    </row>
    <row r="771" spans="2:3">
      <c r="B771" s="37">
        <v>45329</v>
      </c>
      <c r="C771" s="36">
        <v>431.8</v>
      </c>
    </row>
    <row r="772" spans="2:3">
      <c r="B772" s="37">
        <v>45330</v>
      </c>
      <c r="C772" s="36">
        <v>414.45</v>
      </c>
    </row>
    <row r="773" spans="2:3">
      <c r="B773" s="37">
        <v>45331</v>
      </c>
      <c r="C773" s="36">
        <v>415</v>
      </c>
    </row>
    <row r="774" spans="2:3">
      <c r="B774" s="37">
        <v>45334</v>
      </c>
      <c r="C774" s="36">
        <v>406.8</v>
      </c>
    </row>
    <row r="775" spans="2:3">
      <c r="B775" s="37">
        <v>45335</v>
      </c>
      <c r="C775" s="36">
        <v>406.9</v>
      </c>
    </row>
    <row r="776" spans="2:3">
      <c r="B776" s="37">
        <v>45336</v>
      </c>
      <c r="C776" s="36">
        <v>412.15</v>
      </c>
    </row>
    <row r="777" spans="2:3">
      <c r="B777" s="37">
        <v>45337</v>
      </c>
      <c r="C777" s="36">
        <v>404.75</v>
      </c>
    </row>
    <row r="778" spans="2:3">
      <c r="B778" s="37">
        <v>45338</v>
      </c>
      <c r="C778" s="36">
        <v>404.6</v>
      </c>
    </row>
    <row r="779" spans="2:3">
      <c r="B779" s="37">
        <v>45341</v>
      </c>
      <c r="C779" s="36">
        <v>409.2</v>
      </c>
    </row>
    <row r="780" spans="2:3">
      <c r="B780" s="37">
        <v>45342</v>
      </c>
      <c r="C780" s="36">
        <v>406.9</v>
      </c>
    </row>
    <row r="781" spans="2:3">
      <c r="B781" s="37">
        <v>45343</v>
      </c>
      <c r="C781" s="36">
        <v>402.75</v>
      </c>
    </row>
    <row r="782" spans="2:3">
      <c r="B782" s="37">
        <v>45344</v>
      </c>
      <c r="C782" s="36">
        <v>415</v>
      </c>
    </row>
    <row r="783" spans="2:3">
      <c r="B783" s="37">
        <v>45345</v>
      </c>
      <c r="C783" s="36">
        <v>410.9</v>
      </c>
    </row>
    <row r="784" spans="2:3">
      <c r="B784" s="37">
        <v>45348</v>
      </c>
      <c r="C784" s="36">
        <v>409.15</v>
      </c>
    </row>
    <row r="785" spans="2:3">
      <c r="B785" s="37">
        <v>45349</v>
      </c>
      <c r="C785" s="36">
        <v>410.7</v>
      </c>
    </row>
    <row r="786" spans="2:3">
      <c r="B786" s="37">
        <v>45350</v>
      </c>
      <c r="C786" s="36">
        <v>407.85</v>
      </c>
    </row>
    <row r="787" spans="2:3">
      <c r="B787" s="37">
        <v>45351</v>
      </c>
      <c r="C787" s="36">
        <v>406.9</v>
      </c>
    </row>
    <row r="788" spans="2:3">
      <c r="B788" s="37">
        <v>45352</v>
      </c>
      <c r="C788" s="36">
        <v>410.1</v>
      </c>
    </row>
    <row r="789" spans="2:3">
      <c r="B789" s="37">
        <v>45353</v>
      </c>
      <c r="C789" s="36">
        <v>412</v>
      </c>
    </row>
    <row r="790" spans="2:3">
      <c r="B790" s="37">
        <v>45355</v>
      </c>
      <c r="C790" s="36">
        <v>409.3</v>
      </c>
    </row>
    <row r="791" spans="2:3">
      <c r="B791" s="37">
        <v>45356</v>
      </c>
      <c r="C791" s="36">
        <v>406.5</v>
      </c>
    </row>
    <row r="792" spans="2:3">
      <c r="B792" s="37">
        <v>45357</v>
      </c>
      <c r="C792" s="36">
        <v>407.95</v>
      </c>
    </row>
    <row r="793" spans="2:3">
      <c r="B793" s="37">
        <v>45358</v>
      </c>
      <c r="C793" s="36">
        <v>414.7</v>
      </c>
    </row>
    <row r="794" spans="2:3">
      <c r="B794" s="37">
        <v>45362</v>
      </c>
      <c r="C794" s="36">
        <v>409.2</v>
      </c>
    </row>
    <row r="795" spans="2:3">
      <c r="B795" s="37">
        <v>45363</v>
      </c>
      <c r="C795" s="36">
        <v>401.9</v>
      </c>
    </row>
    <row r="796" spans="2:3">
      <c r="B796" s="37">
        <v>45364</v>
      </c>
      <c r="C796" s="36">
        <v>422</v>
      </c>
    </row>
    <row r="797" spans="2:3">
      <c r="B797" s="37">
        <v>45365</v>
      </c>
      <c r="C797" s="36">
        <v>419</v>
      </c>
    </row>
    <row r="798" spans="2:3">
      <c r="B798" s="37">
        <v>45366</v>
      </c>
      <c r="C798" s="36">
        <v>417</v>
      </c>
    </row>
    <row r="799" spans="2:3">
      <c r="B799" s="37">
        <v>45369</v>
      </c>
      <c r="C799" s="36">
        <v>417.6</v>
      </c>
    </row>
    <row r="800" spans="2:3">
      <c r="B800" s="37">
        <v>45370</v>
      </c>
      <c r="C800" s="36">
        <v>409.75</v>
      </c>
    </row>
    <row r="801" spans="2:3">
      <c r="B801" s="37">
        <v>45371</v>
      </c>
      <c r="C801" s="36">
        <v>416</v>
      </c>
    </row>
    <row r="802" spans="2:3">
      <c r="B802" s="37">
        <v>45372</v>
      </c>
      <c r="C802" s="36">
        <v>421.25</v>
      </c>
    </row>
    <row r="803" spans="2:3">
      <c r="B803" s="37">
        <v>45373</v>
      </c>
      <c r="C803" s="36">
        <v>428.3</v>
      </c>
    </row>
    <row r="804" spans="2:3">
      <c r="B804" s="37">
        <v>45377</v>
      </c>
      <c r="C804" s="36">
        <v>428</v>
      </c>
    </row>
    <row r="805" spans="2:3">
      <c r="B805" s="37">
        <v>45378</v>
      </c>
      <c r="C805" s="36">
        <v>428.4</v>
      </c>
    </row>
    <row r="806" spans="2:3">
      <c r="B806" s="37">
        <v>45379</v>
      </c>
      <c r="C806" s="36">
        <v>429</v>
      </c>
    </row>
    <row r="807" spans="2:3">
      <c r="B807" s="37">
        <v>45383</v>
      </c>
      <c r="C807" s="36">
        <v>427.6</v>
      </c>
    </row>
    <row r="808" spans="2:3">
      <c r="B808" s="37">
        <v>45384</v>
      </c>
      <c r="C808" s="36">
        <v>425.5</v>
      </c>
    </row>
    <row r="809" spans="2:3">
      <c r="B809" s="37">
        <v>45385</v>
      </c>
      <c r="C809" s="36">
        <v>425.5</v>
      </c>
    </row>
    <row r="810" spans="2:3">
      <c r="B810" s="37">
        <v>45386</v>
      </c>
      <c r="C810" s="36">
        <v>423.1</v>
      </c>
    </row>
    <row r="811" spans="2:3">
      <c r="B811" s="37">
        <v>45387</v>
      </c>
      <c r="C811" s="36">
        <v>427.5</v>
      </c>
    </row>
    <row r="812" spans="2:3">
      <c r="B812" s="37">
        <v>45390</v>
      </c>
      <c r="C812" s="36">
        <v>428.9</v>
      </c>
    </row>
    <row r="813" spans="2:3">
      <c r="B813" s="37">
        <v>45391</v>
      </c>
      <c r="C813" s="36">
        <v>426.6</v>
      </c>
    </row>
    <row r="814" spans="2:3">
      <c r="B814" s="37">
        <v>45392</v>
      </c>
      <c r="C814" s="36">
        <v>436</v>
      </c>
    </row>
    <row r="815" spans="2:3">
      <c r="B815" s="37">
        <v>45394</v>
      </c>
      <c r="C815" s="36">
        <v>430.5</v>
      </c>
    </row>
    <row r="816" spans="2:3">
      <c r="B816" s="37">
        <v>45397</v>
      </c>
      <c r="C816" s="36">
        <v>425.6</v>
      </c>
    </row>
    <row r="817" spans="2:3">
      <c r="B817" s="37">
        <v>45398</v>
      </c>
      <c r="C817" s="36">
        <v>426.45</v>
      </c>
    </row>
    <row r="818" spans="2:3">
      <c r="B818" s="37">
        <v>45400</v>
      </c>
      <c r="C818" s="36">
        <v>419.75</v>
      </c>
    </row>
    <row r="819" spans="2:3">
      <c r="B819" s="37">
        <v>45401</v>
      </c>
      <c r="C819" s="36">
        <v>424</v>
      </c>
    </row>
    <row r="820" spans="2:3">
      <c r="B820" s="37">
        <v>45404</v>
      </c>
      <c r="C820" s="36">
        <v>425.8</v>
      </c>
    </row>
    <row r="821" spans="2:3">
      <c r="B821" s="37">
        <v>45405</v>
      </c>
      <c r="C821" s="36">
        <v>428.7</v>
      </c>
    </row>
    <row r="822" spans="2:3">
      <c r="B822" s="37">
        <v>45406</v>
      </c>
      <c r="C822" s="36">
        <v>429.4</v>
      </c>
    </row>
    <row r="823" spans="2:3">
      <c r="B823" s="37">
        <v>45407</v>
      </c>
      <c r="C823" s="36">
        <v>437.8</v>
      </c>
    </row>
    <row r="824" spans="2:3">
      <c r="B824" s="37">
        <v>45408</v>
      </c>
      <c r="C824" s="36">
        <v>440</v>
      </c>
    </row>
    <row r="825" spans="2:3">
      <c r="B825" s="37">
        <v>45411</v>
      </c>
      <c r="C825" s="36">
        <v>438</v>
      </c>
    </row>
    <row r="826" spans="2:3">
      <c r="B826" s="37">
        <v>45412</v>
      </c>
      <c r="C826" s="36">
        <v>435.35</v>
      </c>
    </row>
    <row r="827" spans="2:3">
      <c r="B827" s="37">
        <v>45414</v>
      </c>
      <c r="C827" s="36">
        <v>439.45</v>
      </c>
    </row>
    <row r="828" spans="2:3">
      <c r="B828" s="37">
        <v>45415</v>
      </c>
      <c r="C828" s="36">
        <v>436</v>
      </c>
    </row>
    <row r="829" spans="2:3">
      <c r="B829" s="37">
        <v>45418</v>
      </c>
      <c r="C829" s="36">
        <v>434.95</v>
      </c>
    </row>
    <row r="830" spans="2:3">
      <c r="B830" s="37">
        <v>45419</v>
      </c>
      <c r="C830" s="36">
        <v>441</v>
      </c>
    </row>
    <row r="831" spans="2:3">
      <c r="B831" s="37">
        <v>45420</v>
      </c>
      <c r="C831" s="36">
        <v>441</v>
      </c>
    </row>
    <row r="832" spans="2:3">
      <c r="B832" s="37">
        <v>45421</v>
      </c>
      <c r="C832" s="36">
        <v>427.1</v>
      </c>
    </row>
    <row r="833" spans="2:3">
      <c r="B833" s="37">
        <v>45422</v>
      </c>
      <c r="C833" s="36">
        <v>433.85</v>
      </c>
    </row>
    <row r="834" spans="2:3">
      <c r="B834" s="37">
        <v>45425</v>
      </c>
      <c r="C834" s="36">
        <v>431.65</v>
      </c>
    </row>
    <row r="835" spans="2:3">
      <c r="B835" s="37">
        <v>45426</v>
      </c>
      <c r="C835" s="36">
        <v>429.6</v>
      </c>
    </row>
    <row r="836" spans="2:3">
      <c r="B836" s="37">
        <v>45427</v>
      </c>
      <c r="C836" s="36">
        <v>428.25</v>
      </c>
    </row>
    <row r="837" spans="2:3">
      <c r="B837" s="37">
        <v>45428</v>
      </c>
      <c r="C837" s="36">
        <v>432.6</v>
      </c>
    </row>
    <row r="838" spans="2:3">
      <c r="B838" s="37">
        <v>45429</v>
      </c>
      <c r="C838" s="36">
        <v>435.45</v>
      </c>
    </row>
    <row r="839" spans="2:3">
      <c r="B839" s="37">
        <v>45430</v>
      </c>
      <c r="C839" s="36">
        <v>436.7</v>
      </c>
    </row>
    <row r="840" spans="2:3">
      <c r="B840" s="37">
        <v>45433</v>
      </c>
      <c r="C840" s="36">
        <v>434.9</v>
      </c>
    </row>
    <row r="841" spans="2:3">
      <c r="B841" s="37">
        <v>45434</v>
      </c>
      <c r="C841" s="36">
        <v>440</v>
      </c>
    </row>
    <row r="842" spans="2:3">
      <c r="B842" s="37">
        <v>45435</v>
      </c>
      <c r="C842" s="36">
        <v>440.2</v>
      </c>
    </row>
    <row r="843" spans="2:3">
      <c r="B843" s="37">
        <v>45436</v>
      </c>
      <c r="C843" s="36">
        <v>436.55</v>
      </c>
    </row>
    <row r="844" spans="2:3">
      <c r="B844" s="37">
        <v>45439</v>
      </c>
      <c r="C844" s="36">
        <v>432.25</v>
      </c>
    </row>
    <row r="845" spans="2:3">
      <c r="B845" s="37">
        <v>45440</v>
      </c>
      <c r="C845" s="36">
        <v>428.8</v>
      </c>
    </row>
    <row r="846" spans="2:3">
      <c r="B846" s="37">
        <v>45441</v>
      </c>
      <c r="C846" s="36">
        <v>431</v>
      </c>
    </row>
    <row r="847" spans="2:3">
      <c r="B847" s="37">
        <v>45442</v>
      </c>
      <c r="C847" s="36">
        <v>424.85</v>
      </c>
    </row>
    <row r="848" spans="2:3">
      <c r="B848" s="37">
        <v>45443</v>
      </c>
      <c r="C848" s="36">
        <v>427</v>
      </c>
    </row>
    <row r="849" spans="2:3">
      <c r="B849" s="37">
        <v>45446</v>
      </c>
      <c r="C849" s="36">
        <v>431.4</v>
      </c>
    </row>
    <row r="850" spans="2:3">
      <c r="B850" s="37">
        <v>45447</v>
      </c>
      <c r="C850" s="36">
        <v>419.85</v>
      </c>
    </row>
    <row r="851" spans="2:3">
      <c r="B851" s="37">
        <v>45448</v>
      </c>
      <c r="C851" s="36">
        <v>430.7</v>
      </c>
    </row>
    <row r="852" spans="2:3">
      <c r="B852" s="37">
        <v>45449</v>
      </c>
      <c r="C852" s="36">
        <v>436.4</v>
      </c>
    </row>
    <row r="853" spans="2:3">
      <c r="B853" s="37">
        <v>45450</v>
      </c>
      <c r="C853" s="36">
        <v>438.5</v>
      </c>
    </row>
    <row r="854" spans="2:3">
      <c r="B854" s="37">
        <v>45453</v>
      </c>
      <c r="C854" s="36">
        <v>436.55</v>
      </c>
    </row>
    <row r="855" spans="2:3">
      <c r="B855" s="37">
        <v>45454</v>
      </c>
      <c r="C855" s="36">
        <v>432.75</v>
      </c>
    </row>
    <row r="856" spans="2:3">
      <c r="B856" s="37">
        <v>45455</v>
      </c>
      <c r="C856" s="36">
        <v>432.6</v>
      </c>
    </row>
    <row r="857" spans="2:3">
      <c r="B857" s="37">
        <v>45456</v>
      </c>
      <c r="C857" s="36">
        <v>430.35</v>
      </c>
    </row>
    <row r="858" spans="2:3">
      <c r="B858" s="37">
        <v>45457</v>
      </c>
      <c r="C858" s="36">
        <v>431.4</v>
      </c>
    </row>
    <row r="859" spans="2:3">
      <c r="B859" s="37">
        <v>45461</v>
      </c>
      <c r="C859" s="36">
        <v>429</v>
      </c>
    </row>
    <row r="860" spans="2:3">
      <c r="B860" s="37">
        <v>45462</v>
      </c>
      <c r="C860" s="36">
        <v>423.4</v>
      </c>
    </row>
    <row r="861" spans="2:3">
      <c r="B861" s="37">
        <v>45463</v>
      </c>
      <c r="C861" s="36">
        <v>423.85</v>
      </c>
    </row>
    <row r="862" spans="2:3">
      <c r="B862" s="37">
        <v>45464</v>
      </c>
      <c r="C862" s="36">
        <v>419.7</v>
      </c>
    </row>
    <row r="863" spans="2:3">
      <c r="B863" s="37">
        <v>45467</v>
      </c>
      <c r="C863" s="36">
        <v>423.65</v>
      </c>
    </row>
    <row r="864" spans="2:3">
      <c r="B864" s="37">
        <v>45468</v>
      </c>
      <c r="C864" s="36">
        <v>423.25</v>
      </c>
    </row>
    <row r="865" spans="2:3">
      <c r="B865" s="37">
        <v>45469</v>
      </c>
      <c r="C865" s="36">
        <v>423.5</v>
      </c>
    </row>
    <row r="866" spans="2:3">
      <c r="B866" s="37">
        <v>45470</v>
      </c>
      <c r="C866" s="36">
        <v>425.6</v>
      </c>
    </row>
    <row r="867" spans="2:3">
      <c r="B867" s="37">
        <v>45471</v>
      </c>
      <c r="C867" s="36">
        <v>425</v>
      </c>
    </row>
    <row r="868" spans="2:3">
      <c r="B868" s="37">
        <v>45474</v>
      </c>
      <c r="C868" s="36">
        <v>428.5</v>
      </c>
    </row>
    <row r="869" spans="2:3">
      <c r="B869" s="37">
        <v>45475</v>
      </c>
      <c r="C869" s="36">
        <v>425.75</v>
      </c>
    </row>
    <row r="870" spans="2:3">
      <c r="B870" s="37">
        <v>45476</v>
      </c>
      <c r="C870" s="36">
        <v>428.5</v>
      </c>
    </row>
    <row r="871" spans="2:3">
      <c r="B871" s="37">
        <v>45477</v>
      </c>
      <c r="C871" s="36">
        <v>429.25</v>
      </c>
    </row>
    <row r="872" spans="2:3">
      <c r="B872" s="37">
        <v>45478</v>
      </c>
      <c r="C872" s="36">
        <v>433.5</v>
      </c>
    </row>
    <row r="873" spans="2:3">
      <c r="B873" s="37">
        <v>45481</v>
      </c>
      <c r="C873" s="36">
        <v>443.8</v>
      </c>
    </row>
    <row r="874" spans="2:3">
      <c r="B874" s="37">
        <v>45482</v>
      </c>
      <c r="C874" s="36">
        <v>451.5</v>
      </c>
    </row>
    <row r="875" spans="2:3">
      <c r="B875" s="37">
        <v>45483</v>
      </c>
      <c r="C875" s="36">
        <v>450.3</v>
      </c>
    </row>
    <row r="876" spans="2:3">
      <c r="B876" s="37">
        <v>45484</v>
      </c>
      <c r="C876" s="36">
        <v>458.6</v>
      </c>
    </row>
    <row r="877" spans="2:3">
      <c r="B877" s="37">
        <v>45485</v>
      </c>
      <c r="C877" s="36">
        <v>459.05</v>
      </c>
    </row>
    <row r="878" spans="2:3">
      <c r="B878" s="37">
        <v>45488</v>
      </c>
      <c r="C878" s="36">
        <v>462.05</v>
      </c>
    </row>
    <row r="879" spans="2:3">
      <c r="B879" s="37">
        <v>45489</v>
      </c>
      <c r="C879" s="36">
        <v>465.7</v>
      </c>
    </row>
    <row r="880" spans="2:3">
      <c r="B880" s="37">
        <v>45491</v>
      </c>
      <c r="C880" s="36">
        <v>470.5</v>
      </c>
    </row>
    <row r="881" spans="2:3">
      <c r="B881" s="37">
        <v>45492</v>
      </c>
      <c r="C881" s="36">
        <v>473.15</v>
      </c>
    </row>
    <row r="882" spans="2:3">
      <c r="B882" s="37">
        <v>45495</v>
      </c>
      <c r="C882" s="36">
        <v>466.3</v>
      </c>
    </row>
    <row r="883" spans="2:3">
      <c r="B883" s="37">
        <v>45496</v>
      </c>
      <c r="C883" s="36">
        <v>496.95</v>
      </c>
    </row>
    <row r="884" spans="2:3">
      <c r="B884" s="37">
        <v>45497</v>
      </c>
      <c r="C884" s="36">
        <v>494</v>
      </c>
    </row>
    <row r="885" spans="2:3">
      <c r="B885" s="37">
        <v>45498</v>
      </c>
      <c r="C885" s="36">
        <v>490.2</v>
      </c>
    </row>
    <row r="886" spans="2:3">
      <c r="B886" s="37">
        <v>45499</v>
      </c>
      <c r="C886" s="36">
        <v>501.55</v>
      </c>
    </row>
    <row r="887" spans="2:3">
      <c r="B887" s="37">
        <v>45502</v>
      </c>
      <c r="C887" s="36">
        <v>496.25</v>
      </c>
    </row>
    <row r="888" spans="2:3">
      <c r="B888" s="37">
        <v>45503</v>
      </c>
      <c r="C888" s="36">
        <v>490.5</v>
      </c>
    </row>
    <row r="889" spans="2:3">
      <c r="B889" s="37">
        <v>45504</v>
      </c>
      <c r="C889" s="36">
        <v>495.5</v>
      </c>
    </row>
    <row r="890" spans="2:3">
      <c r="B890" s="37">
        <v>45505</v>
      </c>
      <c r="C890" s="36">
        <v>493.05</v>
      </c>
    </row>
    <row r="891" spans="2:3">
      <c r="B891" s="37">
        <v>45506</v>
      </c>
      <c r="C891" s="36">
        <v>488.85</v>
      </c>
    </row>
    <row r="892" spans="2:3">
      <c r="B892" s="37">
        <v>45509</v>
      </c>
      <c r="C892" s="36">
        <v>485.9</v>
      </c>
    </row>
    <row r="893" spans="2:3">
      <c r="B893" s="37">
        <v>45510</v>
      </c>
      <c r="C893" s="36">
        <v>487.8</v>
      </c>
    </row>
    <row r="894" spans="2:3">
      <c r="B894" s="37">
        <v>45511</v>
      </c>
      <c r="C894" s="36">
        <v>492.75</v>
      </c>
    </row>
    <row r="895" spans="2:3">
      <c r="B895" s="37">
        <v>45512</v>
      </c>
      <c r="C895" s="36">
        <v>494.15</v>
      </c>
    </row>
    <row r="896" spans="2:3">
      <c r="B896" s="37">
        <v>45513</v>
      </c>
      <c r="C896" s="36">
        <v>496.15</v>
      </c>
    </row>
    <row r="897" spans="2:3">
      <c r="B897" s="37">
        <v>45516</v>
      </c>
      <c r="C897" s="36">
        <v>494.4</v>
      </c>
    </row>
    <row r="898" spans="2:3">
      <c r="B898" s="37">
        <v>45517</v>
      </c>
      <c r="C898" s="36">
        <v>491.5</v>
      </c>
    </row>
    <row r="899" spans="2:3">
      <c r="B899" s="37">
        <v>45518</v>
      </c>
      <c r="C899" s="36">
        <v>492.55</v>
      </c>
    </row>
    <row r="900" spans="2:3">
      <c r="B900" s="37">
        <v>45520</v>
      </c>
      <c r="C900" s="36">
        <v>502.05</v>
      </c>
    </row>
    <row r="901" spans="2:3">
      <c r="B901" s="37">
        <v>45523</v>
      </c>
      <c r="C901" s="36">
        <v>499.95</v>
      </c>
    </row>
    <row r="902" spans="2:3">
      <c r="B902" s="37">
        <v>45524</v>
      </c>
      <c r="C902" s="36">
        <v>498.5</v>
      </c>
    </row>
    <row r="903" spans="2:3">
      <c r="B903" s="37">
        <v>45525</v>
      </c>
      <c r="C903" s="36">
        <v>505.8</v>
      </c>
    </row>
    <row r="904" spans="2:3">
      <c r="B904" s="37">
        <v>45526</v>
      </c>
      <c r="C904" s="36">
        <v>505.05</v>
      </c>
    </row>
    <row r="905" spans="2:3">
      <c r="B905" s="37">
        <v>45527</v>
      </c>
      <c r="C905" s="36">
        <v>505.4</v>
      </c>
    </row>
    <row r="906" spans="2:3">
      <c r="B906" s="37">
        <v>45530</v>
      </c>
      <c r="C906" s="36">
        <v>505.7</v>
      </c>
    </row>
    <row r="907" spans="2:3">
      <c r="B907" s="37">
        <v>45531</v>
      </c>
      <c r="C907" s="36">
        <v>500.4</v>
      </c>
    </row>
    <row r="908" spans="2:3">
      <c r="B908" s="37">
        <v>45532</v>
      </c>
      <c r="C908" s="36">
        <v>500.15</v>
      </c>
    </row>
    <row r="909" spans="2:3">
      <c r="B909" s="37">
        <v>45533</v>
      </c>
      <c r="C909" s="36">
        <v>505</v>
      </c>
    </row>
    <row r="910" spans="2:3">
      <c r="B910" s="37">
        <v>45534</v>
      </c>
      <c r="C910" s="36">
        <v>504</v>
      </c>
    </row>
    <row r="911" spans="2:3">
      <c r="B911" s="37">
        <v>45537</v>
      </c>
      <c r="C911" s="36">
        <v>509.85</v>
      </c>
    </row>
    <row r="912" spans="2:3">
      <c r="B912" s="37">
        <v>45538</v>
      </c>
      <c r="C912" s="36">
        <v>508.6</v>
      </c>
    </row>
    <row r="913" spans="2:3">
      <c r="B913" s="37">
        <v>45539</v>
      </c>
      <c r="C913" s="36">
        <v>507.45</v>
      </c>
    </row>
    <row r="914" spans="2:3">
      <c r="B914" s="37">
        <v>45540</v>
      </c>
      <c r="C914" s="36">
        <v>511.25</v>
      </c>
    </row>
    <row r="915" spans="2:3">
      <c r="B915" s="37">
        <v>45541</v>
      </c>
      <c r="C915" s="36">
        <v>502.45</v>
      </c>
    </row>
    <row r="916" spans="2:3">
      <c r="B916" s="37">
        <v>45544</v>
      </c>
      <c r="C916" s="36">
        <v>511.5</v>
      </c>
    </row>
    <row r="917" spans="2:3">
      <c r="B917" s="37">
        <v>45545</v>
      </c>
      <c r="C917" s="36">
        <v>512.9</v>
      </c>
    </row>
    <row r="918" spans="2:3">
      <c r="B918" s="37">
        <v>45546</v>
      </c>
      <c r="C918" s="36">
        <v>513.1</v>
      </c>
    </row>
    <row r="919" spans="2:3">
      <c r="B919" s="37">
        <v>45547</v>
      </c>
      <c r="C919" s="36">
        <v>518.04999999999995</v>
      </c>
    </row>
    <row r="920" spans="2:3">
      <c r="B920" s="37">
        <v>45548</v>
      </c>
      <c r="C920" s="36">
        <v>513.65</v>
      </c>
    </row>
    <row r="921" spans="2:3">
      <c r="B921" s="37">
        <v>45551</v>
      </c>
      <c r="C921" s="36">
        <v>509.95</v>
      </c>
    </row>
    <row r="922" spans="2:3">
      <c r="B922" s="37">
        <v>45552</v>
      </c>
      <c r="C922" s="36">
        <v>508.25</v>
      </c>
    </row>
    <row r="923" spans="2:3">
      <c r="B923" s="37">
        <v>45553</v>
      </c>
      <c r="C923" s="36">
        <v>506.75</v>
      </c>
    </row>
    <row r="924" spans="2:3">
      <c r="B924" s="37">
        <v>45554</v>
      </c>
      <c r="C924" s="36">
        <v>508.6</v>
      </c>
    </row>
    <row r="925" spans="2:3">
      <c r="B925" s="37">
        <v>45555</v>
      </c>
      <c r="C925" s="36">
        <v>514.15</v>
      </c>
    </row>
    <row r="926" spans="2:3">
      <c r="B926" s="37">
        <v>45558</v>
      </c>
      <c r="C926" s="36">
        <v>516.75</v>
      </c>
    </row>
    <row r="927" spans="2:3">
      <c r="B927" s="37">
        <v>45559</v>
      </c>
      <c r="C927" s="36">
        <v>515.5</v>
      </c>
    </row>
    <row r="928" spans="2:3">
      <c r="B928" s="37">
        <v>45560</v>
      </c>
      <c r="C928" s="36">
        <v>517.65</v>
      </c>
    </row>
    <row r="929" spans="2:3">
      <c r="B929" s="37">
        <v>45561</v>
      </c>
      <c r="C929" s="36">
        <v>522.25</v>
      </c>
    </row>
    <row r="930" spans="2:3">
      <c r="B930" s="37">
        <v>45562</v>
      </c>
      <c r="C930" s="36">
        <v>521.70000000000005</v>
      </c>
    </row>
    <row r="931" spans="2:3">
      <c r="B931" s="37">
        <v>45565</v>
      </c>
      <c r="C931" s="36">
        <v>518.25</v>
      </c>
    </row>
    <row r="932" spans="2:3">
      <c r="B932" s="37">
        <v>45566</v>
      </c>
      <c r="C932" s="36">
        <v>516.5</v>
      </c>
    </row>
    <row r="933" spans="2:3">
      <c r="B933" s="37">
        <v>45568</v>
      </c>
      <c r="C933" s="36">
        <v>511.75</v>
      </c>
    </row>
    <row r="934" spans="2:3">
      <c r="B934" s="37">
        <v>45569</v>
      </c>
      <c r="C934" s="36">
        <v>504.75</v>
      </c>
    </row>
    <row r="935" spans="2:3">
      <c r="B935" s="37">
        <v>45572</v>
      </c>
      <c r="C935" s="36">
        <v>510</v>
      </c>
    </row>
    <row r="936" spans="2:3">
      <c r="B936" s="37">
        <v>45573</v>
      </c>
      <c r="C936" s="36">
        <v>508.5</v>
      </c>
    </row>
    <row r="937" spans="2:3">
      <c r="B937" s="37">
        <v>45574</v>
      </c>
      <c r="C937" s="36">
        <v>492.5</v>
      </c>
    </row>
    <row r="938" spans="2:3">
      <c r="B938" s="37">
        <v>45575</v>
      </c>
      <c r="C938" s="36">
        <v>493</v>
      </c>
    </row>
    <row r="939" spans="2:3">
      <c r="B939" s="37">
        <v>45576</v>
      </c>
      <c r="C939" s="36">
        <v>488.95</v>
      </c>
    </row>
    <row r="940" spans="2:3">
      <c r="B940" s="37">
        <v>45579</v>
      </c>
      <c r="C940" s="36">
        <v>496.75</v>
      </c>
    </row>
    <row r="941" spans="2:3">
      <c r="B941" s="37">
        <v>45580</v>
      </c>
      <c r="C941" s="36">
        <v>498</v>
      </c>
    </row>
    <row r="942" spans="2:3">
      <c r="B942" s="37">
        <v>45581</v>
      </c>
      <c r="C942" s="36">
        <v>493.1</v>
      </c>
    </row>
    <row r="943" spans="2:3">
      <c r="B943" s="37">
        <v>45582</v>
      </c>
      <c r="C943" s="36">
        <v>489</v>
      </c>
    </row>
    <row r="944" spans="2:3">
      <c r="B944" s="37">
        <v>45583</v>
      </c>
      <c r="C944" s="36">
        <v>486.15</v>
      </c>
    </row>
    <row r="945" spans="2:3">
      <c r="B945" s="37">
        <v>45586</v>
      </c>
      <c r="C945" s="36">
        <v>483.1</v>
      </c>
    </row>
    <row r="946" spans="2:3">
      <c r="B946" s="37">
        <v>45587</v>
      </c>
      <c r="C946" s="36">
        <v>482.5</v>
      </c>
    </row>
    <row r="947" spans="2:3">
      <c r="B947" s="37">
        <v>45588</v>
      </c>
      <c r="C947" s="36">
        <v>480.7</v>
      </c>
    </row>
    <row r="948" spans="2:3">
      <c r="B948" s="37">
        <v>45589</v>
      </c>
      <c r="C948" s="36">
        <v>470.7</v>
      </c>
    </row>
    <row r="949" spans="2:3">
      <c r="B949" s="37">
        <v>45590</v>
      </c>
      <c r="C949" s="36">
        <v>482.25</v>
      </c>
    </row>
    <row r="950" spans="2:3">
      <c r="B950" s="37">
        <v>45593</v>
      </c>
      <c r="C950" s="36">
        <v>484</v>
      </c>
    </row>
    <row r="951" spans="2:3">
      <c r="B951" s="37">
        <v>45594</v>
      </c>
      <c r="C951" s="36">
        <v>488</v>
      </c>
    </row>
    <row r="952" spans="2:3">
      <c r="B952" s="37">
        <v>45595</v>
      </c>
      <c r="C952" s="36">
        <v>491.8</v>
      </c>
    </row>
    <row r="953" spans="2:3">
      <c r="B953" s="37">
        <v>45596</v>
      </c>
      <c r="C953" s="36">
        <v>489.25</v>
      </c>
    </row>
    <row r="954" spans="2:3">
      <c r="B954" s="37">
        <v>45597</v>
      </c>
      <c r="C954" s="36">
        <v>489.95</v>
      </c>
    </row>
    <row r="955" spans="2:3">
      <c r="B955" s="37">
        <v>45600</v>
      </c>
      <c r="C955" s="36">
        <v>485.25</v>
      </c>
    </row>
    <row r="956" spans="2:3">
      <c r="B956" s="37">
        <v>45601</v>
      </c>
      <c r="C956" s="36">
        <v>480.95</v>
      </c>
    </row>
    <row r="957" spans="2:3">
      <c r="B957" s="37">
        <v>45602</v>
      </c>
      <c r="C957" s="36">
        <v>481.95</v>
      </c>
    </row>
    <row r="958" spans="2:3">
      <c r="B958" s="37">
        <v>45603</v>
      </c>
      <c r="C958" s="36">
        <v>478</v>
      </c>
    </row>
    <row r="959" spans="2:3">
      <c r="B959" s="37">
        <v>45604</v>
      </c>
      <c r="C959" s="36">
        <v>478.8</v>
      </c>
    </row>
    <row r="960" spans="2:3">
      <c r="B960" s="37">
        <v>45607</v>
      </c>
      <c r="C960" s="36">
        <v>477.3</v>
      </c>
    </row>
    <row r="961" spans="2:3">
      <c r="B961" s="37">
        <v>45608</v>
      </c>
      <c r="C961" s="36">
        <v>471.9</v>
      </c>
    </row>
    <row r="962" spans="2:3">
      <c r="B962" s="37">
        <v>45609</v>
      </c>
      <c r="C962" s="36">
        <v>472</v>
      </c>
    </row>
    <row r="963" spans="2:3">
      <c r="B963" s="37">
        <v>45610</v>
      </c>
      <c r="C963" s="36">
        <v>467</v>
      </c>
    </row>
    <row r="964" spans="2:3">
      <c r="B964" s="37">
        <v>45614</v>
      </c>
      <c r="C964" s="36">
        <v>467.4</v>
      </c>
    </row>
    <row r="965" spans="2:3">
      <c r="B965" s="37">
        <v>45615</v>
      </c>
      <c r="C965" s="36">
        <v>466.6</v>
      </c>
    </row>
    <row r="966" spans="2:3">
      <c r="B966" s="37">
        <v>45617</v>
      </c>
      <c r="C966" s="36">
        <v>457</v>
      </c>
    </row>
    <row r="967" spans="2:3">
      <c r="B967" s="37">
        <v>45618</v>
      </c>
      <c r="C967" s="36">
        <v>474</v>
      </c>
    </row>
    <row r="968" spans="2:3">
      <c r="B968" s="37">
        <v>45621</v>
      </c>
      <c r="C968" s="36">
        <v>478.15</v>
      </c>
    </row>
    <row r="969" spans="2:3">
      <c r="B969" s="37">
        <v>45622</v>
      </c>
      <c r="C969" s="36">
        <v>477</v>
      </c>
    </row>
    <row r="970" spans="2:3">
      <c r="B970" s="37">
        <v>45623</v>
      </c>
      <c r="C970" s="36">
        <v>476.95</v>
      </c>
    </row>
    <row r="971" spans="2:3">
      <c r="B971" s="37">
        <v>45624</v>
      </c>
      <c r="C971" s="36">
        <v>475.55</v>
      </c>
    </row>
    <row r="972" spans="2:3">
      <c r="B972" s="37">
        <v>45625</v>
      </c>
      <c r="C972" s="36">
        <v>477</v>
      </c>
    </row>
    <row r="973" spans="2:3">
      <c r="B973" s="37">
        <v>45628</v>
      </c>
      <c r="C973" s="36">
        <v>477.4</v>
      </c>
    </row>
    <row r="974" spans="2:3">
      <c r="B974" s="37">
        <v>45629</v>
      </c>
      <c r="C974" s="36">
        <v>472.55</v>
      </c>
    </row>
    <row r="975" spans="2:3">
      <c r="B975" s="37">
        <v>45630</v>
      </c>
      <c r="C975" s="36">
        <v>467.2</v>
      </c>
    </row>
    <row r="976" spans="2:3">
      <c r="B976" s="37">
        <v>45631</v>
      </c>
      <c r="C976" s="36">
        <v>467.7</v>
      </c>
    </row>
    <row r="977" spans="2:3">
      <c r="B977" s="37">
        <v>45632</v>
      </c>
      <c r="C977" s="36">
        <v>471.95</v>
      </c>
    </row>
    <row r="978" spans="2:3">
      <c r="B978" s="37">
        <v>45635</v>
      </c>
      <c r="C978" s="36">
        <v>465.2</v>
      </c>
    </row>
    <row r="979" spans="2:3">
      <c r="B979" s="37">
        <v>45636</v>
      </c>
      <c r="C979" s="36">
        <v>465.35</v>
      </c>
    </row>
    <row r="980" spans="2:3">
      <c r="B980" s="37">
        <v>45637</v>
      </c>
      <c r="C980" s="36">
        <v>465.25</v>
      </c>
    </row>
    <row r="981" spans="2:3">
      <c r="B981" s="37">
        <v>45638</v>
      </c>
      <c r="C981" s="36">
        <v>460.85</v>
      </c>
    </row>
    <row r="982" spans="2:3">
      <c r="B982" s="37">
        <v>45639</v>
      </c>
      <c r="C982" s="36">
        <v>471</v>
      </c>
    </row>
    <row r="983" spans="2:3">
      <c r="B983" s="37">
        <v>45642</v>
      </c>
      <c r="C983" s="36">
        <v>470</v>
      </c>
    </row>
    <row r="984" spans="2:3">
      <c r="B984" s="37">
        <v>45643</v>
      </c>
      <c r="C984" s="36">
        <v>470.7</v>
      </c>
    </row>
    <row r="985" spans="2:3">
      <c r="B985" s="37">
        <v>45644</v>
      </c>
      <c r="C985" s="36">
        <v>471.25</v>
      </c>
    </row>
    <row r="986" spans="2:3">
      <c r="B986" s="37">
        <v>45645</v>
      </c>
      <c r="C986" s="36">
        <v>466</v>
      </c>
    </row>
    <row r="987" spans="2:3">
      <c r="B987" s="37">
        <v>45646</v>
      </c>
      <c r="C987" s="36">
        <v>465.65</v>
      </c>
    </row>
    <row r="988" spans="2:3">
      <c r="B988" s="37">
        <v>45649</v>
      </c>
      <c r="C988" s="36">
        <v>474.5</v>
      </c>
    </row>
    <row r="989" spans="2:3">
      <c r="B989" s="37">
        <v>45650</v>
      </c>
      <c r="C989" s="36">
        <v>478.25</v>
      </c>
    </row>
    <row r="990" spans="2:3">
      <c r="B990" s="37">
        <v>45652</v>
      </c>
      <c r="C990" s="36">
        <v>477</v>
      </c>
    </row>
    <row r="991" spans="2:3">
      <c r="B991" s="37">
        <v>45653</v>
      </c>
      <c r="C991" s="36">
        <v>479.7</v>
      </c>
    </row>
    <row r="992" spans="2:3">
      <c r="B992" s="37">
        <v>45656</v>
      </c>
      <c r="C992" s="36">
        <v>476.8</v>
      </c>
    </row>
    <row r="993" spans="2:3">
      <c r="B993" s="37">
        <v>45657</v>
      </c>
      <c r="C993" s="36">
        <v>484.45</v>
      </c>
    </row>
    <row r="994" spans="2:3">
      <c r="B994" s="37">
        <v>45658</v>
      </c>
      <c r="C994" s="36">
        <v>484.7</v>
      </c>
    </row>
    <row r="995" spans="2:3">
      <c r="B995" s="37">
        <v>45659</v>
      </c>
      <c r="C995" s="36">
        <v>489.5</v>
      </c>
    </row>
    <row r="996" spans="2:3">
      <c r="B996" s="37">
        <v>45660</v>
      </c>
      <c r="C996" s="36">
        <v>483.95</v>
      </c>
    </row>
    <row r="997" spans="2:3">
      <c r="B997" s="37">
        <v>45663</v>
      </c>
      <c r="C997" s="36">
        <v>445.35</v>
      </c>
    </row>
    <row r="998" spans="2:3">
      <c r="B998" s="37">
        <v>45664</v>
      </c>
      <c r="C998" s="36">
        <v>441.1</v>
      </c>
    </row>
    <row r="999" spans="2:3">
      <c r="B999" s="37">
        <v>45665</v>
      </c>
      <c r="C999" s="36">
        <v>449.65</v>
      </c>
    </row>
    <row r="1000" spans="2:3">
      <c r="B1000" s="37">
        <v>45666</v>
      </c>
      <c r="C1000" s="36">
        <v>450.45</v>
      </c>
    </row>
    <row r="1001" spans="2:3">
      <c r="B1001" s="37">
        <v>45667</v>
      </c>
      <c r="C1001" s="36">
        <v>443.85</v>
      </c>
    </row>
    <row r="1002" spans="2:3">
      <c r="B1002" s="37">
        <v>45670</v>
      </c>
      <c r="C1002" s="36">
        <v>439</v>
      </c>
    </row>
    <row r="1003" spans="2:3">
      <c r="B1003" s="37">
        <v>45671</v>
      </c>
      <c r="C1003" s="36">
        <v>436.95</v>
      </c>
    </row>
    <row r="1004" spans="2:3">
      <c r="B1004" s="37">
        <v>45672</v>
      </c>
      <c r="C1004" s="36">
        <v>437</v>
      </c>
    </row>
    <row r="1005" spans="2:3">
      <c r="B1005" s="37">
        <v>45673</v>
      </c>
      <c r="C1005" s="36">
        <v>432.9</v>
      </c>
    </row>
    <row r="1006" spans="2:3">
      <c r="B1006" s="37">
        <v>45674</v>
      </c>
      <c r="C1006" s="36">
        <v>439.65</v>
      </c>
    </row>
    <row r="1007" spans="2:3">
      <c r="B1007" s="37">
        <v>45677</v>
      </c>
      <c r="C1007" s="36">
        <v>437.45</v>
      </c>
    </row>
    <row r="1008" spans="2:3">
      <c r="B1008" s="37">
        <v>45678</v>
      </c>
      <c r="C1008" s="36">
        <v>437.95</v>
      </c>
    </row>
    <row r="1009" spans="2:3">
      <c r="B1009" s="37">
        <v>45679</v>
      </c>
      <c r="C1009" s="36">
        <v>436.75</v>
      </c>
    </row>
    <row r="1010" spans="2:3">
      <c r="B1010" s="37">
        <v>45680</v>
      </c>
      <c r="C1010" s="36">
        <v>440.45</v>
      </c>
    </row>
    <row r="1011" spans="2:3">
      <c r="B1011" s="37">
        <v>45681</v>
      </c>
      <c r="C1011" s="36">
        <v>441.4</v>
      </c>
    </row>
    <row r="1012" spans="2:3">
      <c r="B1012" s="37">
        <v>45684</v>
      </c>
      <c r="C1012" s="36">
        <v>439.9</v>
      </c>
    </row>
    <row r="1013" spans="2:3">
      <c r="B1013" s="37">
        <v>45685</v>
      </c>
      <c r="C1013" s="36">
        <v>434.65</v>
      </c>
    </row>
    <row r="1014" spans="2:3">
      <c r="B1014" s="37">
        <v>45686</v>
      </c>
      <c r="C1014" s="36">
        <v>433.25</v>
      </c>
    </row>
    <row r="1015" spans="2:3">
      <c r="B1015" s="37">
        <v>45687</v>
      </c>
      <c r="C1015" s="36">
        <v>436</v>
      </c>
    </row>
    <row r="1016" spans="2:3">
      <c r="B1016" s="37">
        <v>45688</v>
      </c>
      <c r="C1016" s="36">
        <v>447.7</v>
      </c>
    </row>
    <row r="1017" spans="2:3">
      <c r="B1017" s="37">
        <v>45689</v>
      </c>
      <c r="C1017" s="36">
        <v>461.55</v>
      </c>
    </row>
    <row r="1018" spans="2:3">
      <c r="B1018" s="37">
        <v>45691</v>
      </c>
      <c r="C1018" s="36">
        <v>453.5</v>
      </c>
    </row>
    <row r="1019" spans="2:3">
      <c r="B1019" s="37">
        <v>45692</v>
      </c>
      <c r="C1019" s="36">
        <v>454.3</v>
      </c>
    </row>
    <row r="1020" spans="2:3">
      <c r="B1020" s="37">
        <v>45693</v>
      </c>
      <c r="C1020" s="36">
        <v>448.5</v>
      </c>
    </row>
    <row r="1021" spans="2:3">
      <c r="B1021" s="37">
        <v>45694</v>
      </c>
      <c r="C1021" s="36">
        <v>442.75</v>
      </c>
    </row>
    <row r="1022" spans="2:3">
      <c r="B1022" s="37">
        <v>45695</v>
      </c>
      <c r="C1022" s="36">
        <v>430.1</v>
      </c>
    </row>
    <row r="1023" spans="2:3">
      <c r="B1023" s="37">
        <v>45698</v>
      </c>
      <c r="C1023" s="36">
        <v>427.7</v>
      </c>
    </row>
    <row r="1024" spans="2:3">
      <c r="B1024" s="37">
        <v>45699</v>
      </c>
      <c r="C1024" s="36">
        <v>418.05</v>
      </c>
    </row>
    <row r="1025" spans="2:3">
      <c r="B1025" s="37">
        <v>45700</v>
      </c>
      <c r="C1025" s="36">
        <v>411.2</v>
      </c>
    </row>
    <row r="1026" spans="2:3">
      <c r="B1026" s="37">
        <v>45701</v>
      </c>
      <c r="C1026" s="36">
        <v>410</v>
      </c>
    </row>
    <row r="1027" spans="2:3">
      <c r="B1027" s="37">
        <v>45702</v>
      </c>
      <c r="C1027" s="36">
        <v>410</v>
      </c>
    </row>
    <row r="1028" spans="2:3">
      <c r="B1028" s="37">
        <v>45705</v>
      </c>
      <c r="C1028" s="36">
        <v>408.6</v>
      </c>
    </row>
    <row r="1029" spans="2:3">
      <c r="B1029" s="37">
        <v>45706</v>
      </c>
      <c r="C1029" s="36">
        <v>404.9</v>
      </c>
    </row>
    <row r="1030" spans="2:3">
      <c r="B1030" s="37">
        <v>45707</v>
      </c>
      <c r="C1030" s="36">
        <v>406.2</v>
      </c>
    </row>
    <row r="1031" spans="2:3">
      <c r="B1031" s="37">
        <v>45708</v>
      </c>
      <c r="C1031" s="36">
        <v>402</v>
      </c>
    </row>
    <row r="1032" spans="2:3">
      <c r="B1032" s="37">
        <v>45709</v>
      </c>
      <c r="C1032" s="36">
        <v>400.7</v>
      </c>
    </row>
    <row r="1033" spans="2:3">
      <c r="B1033" s="37">
        <v>45712</v>
      </c>
      <c r="C1033" s="36">
        <v>402</v>
      </c>
    </row>
    <row r="1034" spans="2:3">
      <c r="B1034" s="37">
        <v>45713</v>
      </c>
      <c r="C1034" s="36">
        <v>404</v>
      </c>
    </row>
    <row r="1035" spans="2:3">
      <c r="B1035" s="37">
        <v>45715</v>
      </c>
      <c r="C1035" s="36">
        <v>401.5</v>
      </c>
    </row>
    <row r="1036" spans="2:3">
      <c r="B1036" s="37">
        <v>45716</v>
      </c>
      <c r="C1036" s="36">
        <v>395.9</v>
      </c>
    </row>
    <row r="1037" spans="2:3">
      <c r="B1037" s="37">
        <v>45719</v>
      </c>
      <c r="C1037" s="36">
        <v>397</v>
      </c>
    </row>
    <row r="1038" spans="2:3">
      <c r="B1038" s="37">
        <v>45720</v>
      </c>
      <c r="C1038" s="36">
        <v>394.45</v>
      </c>
    </row>
    <row r="1039" spans="2:3">
      <c r="B1039" s="37">
        <v>45721</v>
      </c>
      <c r="C1039" s="36">
        <v>409.2</v>
      </c>
    </row>
    <row r="1040" spans="2:3">
      <c r="B1040" s="37">
        <v>45722</v>
      </c>
      <c r="C1040" s="36">
        <v>406.2</v>
      </c>
    </row>
    <row r="1041" spans="2:3">
      <c r="B1041" s="37">
        <v>45723</v>
      </c>
      <c r="C1041" s="36">
        <v>403.75</v>
      </c>
    </row>
    <row r="1042" spans="2:3">
      <c r="B1042" s="37">
        <v>45726</v>
      </c>
      <c r="C1042" s="36">
        <v>404.8</v>
      </c>
    </row>
    <row r="1043" spans="2:3">
      <c r="B1043" s="37">
        <v>45727</v>
      </c>
      <c r="C1043" s="36">
        <v>406.2</v>
      </c>
    </row>
    <row r="1044" spans="2:3">
      <c r="B1044" s="37">
        <v>45728</v>
      </c>
      <c r="C1044" s="36">
        <v>412.55</v>
      </c>
    </row>
    <row r="1045" spans="2:3">
      <c r="B1045" s="37">
        <v>45729</v>
      </c>
      <c r="C1045" s="36">
        <v>411.45</v>
      </c>
    </row>
    <row r="1046" spans="2:3">
      <c r="B1046" s="37">
        <v>45733</v>
      </c>
      <c r="C1046" s="36">
        <v>407.8</v>
      </c>
    </row>
    <row r="1047" spans="2:3">
      <c r="B1047" s="37">
        <v>45734</v>
      </c>
      <c r="C1047" s="36">
        <v>409.5</v>
      </c>
    </row>
    <row r="1048" spans="2:3">
      <c r="B1048" s="37">
        <v>45735</v>
      </c>
      <c r="C1048" s="36">
        <v>403.4</v>
      </c>
    </row>
    <row r="1049" spans="2:3">
      <c r="B1049" s="37">
        <v>45736</v>
      </c>
      <c r="C1049" s="36">
        <v>403.6</v>
      </c>
    </row>
    <row r="1050" spans="2:3">
      <c r="B1050" s="37">
        <v>45737</v>
      </c>
      <c r="C1050" s="36">
        <v>406.5</v>
      </c>
    </row>
    <row r="1051" spans="2:3">
      <c r="B1051" s="37">
        <v>45740</v>
      </c>
      <c r="C1051" s="36">
        <v>411</v>
      </c>
    </row>
    <row r="1052" spans="2:3">
      <c r="B1052" s="37">
        <v>45741</v>
      </c>
      <c r="C1052" s="36">
        <v>409.2</v>
      </c>
    </row>
    <row r="1053" spans="2:3">
      <c r="B1053" s="37">
        <v>45742</v>
      </c>
      <c r="C1053" s="36">
        <v>407.4</v>
      </c>
    </row>
    <row r="1054" spans="2:3">
      <c r="B1054" s="37">
        <v>45743</v>
      </c>
      <c r="C1054" s="36">
        <v>409.35</v>
      </c>
    </row>
    <row r="1055" spans="2:3">
      <c r="B1055" s="37">
        <v>45744</v>
      </c>
      <c r="C1055" s="36">
        <v>410.25</v>
      </c>
    </row>
    <row r="1056" spans="2:3">
      <c r="B1056" s="37">
        <v>45748</v>
      </c>
      <c r="C1056" s="36">
        <v>406.6</v>
      </c>
    </row>
    <row r="1057" spans="2:3">
      <c r="B1057" s="37">
        <v>45749</v>
      </c>
      <c r="C1057" s="36">
        <v>408.7</v>
      </c>
    </row>
    <row r="1058" spans="2:3">
      <c r="B1058" s="37">
        <v>45750</v>
      </c>
      <c r="C1058" s="36">
        <v>409</v>
      </c>
    </row>
    <row r="1059" spans="2:3">
      <c r="B1059" s="37">
        <v>45751</v>
      </c>
      <c r="C1059" s="36">
        <v>409.3</v>
      </c>
    </row>
    <row r="1060" spans="2:3">
      <c r="B1060" s="37">
        <v>45754</v>
      </c>
      <c r="C1060" s="36">
        <v>406.75</v>
      </c>
    </row>
    <row r="1061" spans="2:3">
      <c r="B1061" s="37">
        <v>45755</v>
      </c>
      <c r="C1061" s="36">
        <v>413.5</v>
      </c>
    </row>
    <row r="1062" spans="2:3">
      <c r="B1062" s="37">
        <v>45756</v>
      </c>
      <c r="C1062" s="36">
        <v>416.15</v>
      </c>
    </row>
    <row r="1063" spans="2:3">
      <c r="B1063" s="37">
        <v>45758</v>
      </c>
      <c r="C1063" s="36">
        <v>422</v>
      </c>
    </row>
    <row r="1064" spans="2:3">
      <c r="B1064" s="37">
        <v>45762</v>
      </c>
      <c r="C1064" s="36">
        <v>420.35</v>
      </c>
    </row>
    <row r="1065" spans="2:3">
      <c r="B1065" s="37">
        <v>45763</v>
      </c>
      <c r="C1065" s="36">
        <v>424.9</v>
      </c>
    </row>
    <row r="1066" spans="2:3">
      <c r="B1066" s="37">
        <v>45764</v>
      </c>
      <c r="C1066" s="36">
        <v>427</v>
      </c>
    </row>
    <row r="1067" spans="2:3">
      <c r="B1067" s="37">
        <v>45768</v>
      </c>
      <c r="C1067" s="36">
        <v>422.95</v>
      </c>
    </row>
    <row r="1068" spans="2:3">
      <c r="B1068" s="37">
        <v>45769</v>
      </c>
      <c r="C1068" s="36">
        <v>432.85</v>
      </c>
    </row>
    <row r="1069" spans="2:3">
      <c r="B1069" s="37">
        <v>45770</v>
      </c>
      <c r="C1069" s="36">
        <v>430.15</v>
      </c>
    </row>
    <row r="1070" spans="2:3">
      <c r="B1070" s="37">
        <v>45771</v>
      </c>
      <c r="C1070" s="36">
        <v>429.85</v>
      </c>
    </row>
    <row r="1071" spans="2:3">
      <c r="B1071" s="37">
        <v>45772</v>
      </c>
      <c r="C1071" s="36">
        <v>427.6</v>
      </c>
    </row>
    <row r="1072" spans="2:3">
      <c r="B1072" s="37">
        <v>45775</v>
      </c>
      <c r="C1072" s="36">
        <v>428.75</v>
      </c>
    </row>
    <row r="1073" spans="2:3">
      <c r="B1073" s="37">
        <v>45776</v>
      </c>
      <c r="C1073" s="36">
        <v>425.35</v>
      </c>
    </row>
    <row r="1074" spans="2:3">
      <c r="B1074" s="37">
        <v>45777</v>
      </c>
      <c r="C1074" s="36">
        <v>425</v>
      </c>
    </row>
    <row r="1075" spans="2:3">
      <c r="B1075" s="37">
        <v>45779</v>
      </c>
      <c r="C1075" s="36">
        <v>429.3</v>
      </c>
    </row>
    <row r="1076" spans="2:3">
      <c r="B1076" s="37">
        <v>45782</v>
      </c>
      <c r="C1076" s="36">
        <v>437.5</v>
      </c>
    </row>
    <row r="1077" spans="2:3">
      <c r="B1077" s="37">
        <v>45783</v>
      </c>
      <c r="C1077" s="36">
        <v>433.2</v>
      </c>
    </row>
    <row r="1078" spans="2:3">
      <c r="B1078" s="37">
        <v>45784</v>
      </c>
      <c r="C1078" s="36">
        <v>430.15</v>
      </c>
    </row>
    <row r="1079" spans="2:3">
      <c r="B1079" s="37">
        <v>45785</v>
      </c>
      <c r="C1079" s="36">
        <v>429.4</v>
      </c>
    </row>
    <row r="1080" spans="2:3">
      <c r="B1080" s="37">
        <v>45786</v>
      </c>
      <c r="C1080" s="36">
        <v>424</v>
      </c>
    </row>
    <row r="1081" spans="2:3">
      <c r="B1081" s="37">
        <v>45789</v>
      </c>
      <c r="C1081" s="36">
        <v>435.1</v>
      </c>
    </row>
    <row r="1082" spans="2:3">
      <c r="B1082" s="37">
        <v>45790</v>
      </c>
      <c r="C1082" s="36">
        <v>427.9</v>
      </c>
    </row>
    <row r="1083" spans="2:3">
      <c r="B1083" s="37">
        <v>45791</v>
      </c>
      <c r="C1083" s="36">
        <v>429.05</v>
      </c>
    </row>
    <row r="1084" spans="2:3">
      <c r="B1084" s="37">
        <v>45792</v>
      </c>
      <c r="C1084" s="36">
        <v>432</v>
      </c>
    </row>
    <row r="1085" spans="2:3">
      <c r="B1085" s="37">
        <v>45793</v>
      </c>
      <c r="C1085" s="36">
        <v>435.6</v>
      </c>
    </row>
    <row r="1086" spans="2:3">
      <c r="B1086" s="37">
        <v>45796</v>
      </c>
      <c r="C1086" s="36">
        <v>436.1</v>
      </c>
    </row>
    <row r="1087" spans="2:3">
      <c r="B1087" s="37">
        <v>45797</v>
      </c>
      <c r="C1087" s="36">
        <v>435.4</v>
      </c>
    </row>
    <row r="1088" spans="2:3">
      <c r="B1088" s="37">
        <v>45798</v>
      </c>
      <c r="C1088" s="36">
        <v>432.4</v>
      </c>
    </row>
    <row r="1089" spans="2:3">
      <c r="B1089" s="37">
        <v>45799</v>
      </c>
      <c r="C1089" s="36">
        <v>425.5</v>
      </c>
    </row>
    <row r="1090" spans="2:3">
      <c r="B1090" s="37">
        <v>45800</v>
      </c>
      <c r="C1090" s="36">
        <v>436</v>
      </c>
    </row>
    <row r="1091" spans="2:3">
      <c r="B1091" s="37">
        <v>45803</v>
      </c>
      <c r="C1091" s="36">
        <v>442.9</v>
      </c>
    </row>
    <row r="1092" spans="2:3">
      <c r="B1092" s="37">
        <v>45804</v>
      </c>
      <c r="C1092" s="36">
        <v>434.7</v>
      </c>
    </row>
    <row r="1093" spans="2:3">
      <c r="B1093" s="37">
        <v>45805</v>
      </c>
      <c r="C1093" s="36">
        <v>421</v>
      </c>
    </row>
    <row r="1094" spans="2:3">
      <c r="B1094" s="37">
        <v>45806</v>
      </c>
      <c r="C1094" s="36">
        <v>419.35</v>
      </c>
    </row>
    <row r="1095" spans="2:3">
      <c r="B1095" s="37">
        <v>45807</v>
      </c>
      <c r="C1095" s="36">
        <v>418.75</v>
      </c>
    </row>
    <row r="1096" spans="2:3">
      <c r="B1096" s="37">
        <v>45810</v>
      </c>
      <c r="C1096" s="36">
        <v>418.5</v>
      </c>
    </row>
    <row r="1097" spans="2:3">
      <c r="B1097" s="37">
        <v>45811</v>
      </c>
      <c r="C1097" s="36">
        <v>417</v>
      </c>
    </row>
    <row r="1098" spans="2:3">
      <c r="B1098" s="37">
        <v>45812</v>
      </c>
      <c r="C1098" s="36">
        <v>416.8</v>
      </c>
    </row>
    <row r="1099" spans="2:3">
      <c r="B1099" s="37">
        <v>45813</v>
      </c>
      <c r="C1099" s="36">
        <v>419.45</v>
      </c>
    </row>
    <row r="1100" spans="2:3">
      <c r="B1100" s="37">
        <v>45814</v>
      </c>
      <c r="C1100" s="36">
        <v>421.05</v>
      </c>
    </row>
    <row r="1101" spans="2:3">
      <c r="B1101" s="37">
        <v>45817</v>
      </c>
      <c r="C1101" s="36">
        <v>423</v>
      </c>
    </row>
    <row r="1102" spans="2:3">
      <c r="B1102" s="37">
        <v>45818</v>
      </c>
      <c r="C1102" s="36">
        <v>427.65</v>
      </c>
    </row>
    <row r="1103" spans="2:3">
      <c r="B1103" s="37">
        <v>45819</v>
      </c>
      <c r="C1103" s="36">
        <v>425.55</v>
      </c>
    </row>
    <row r="1104" spans="2:3">
      <c r="B1104" s="37">
        <v>45820</v>
      </c>
      <c r="C1104" s="36">
        <v>420.95</v>
      </c>
    </row>
    <row r="1105" spans="2:3">
      <c r="B1105" s="37">
        <v>45821</v>
      </c>
      <c r="C1105" s="36">
        <v>413.95</v>
      </c>
    </row>
    <row r="1106" spans="2:3">
      <c r="B1106" s="37">
        <v>45824</v>
      </c>
      <c r="C1106" s="36">
        <v>418.65</v>
      </c>
    </row>
    <row r="1107" spans="2:3">
      <c r="B1107" s="37">
        <v>45825</v>
      </c>
      <c r="C1107" s="36">
        <v>417.05</v>
      </c>
    </row>
    <row r="1108" spans="2:3">
      <c r="B1108" s="37">
        <v>45826</v>
      </c>
      <c r="C1108" s="36">
        <v>415.6</v>
      </c>
    </row>
    <row r="1109" spans="2:3">
      <c r="B1109" s="37">
        <v>45827</v>
      </c>
      <c r="C1109" s="36">
        <v>415.8</v>
      </c>
    </row>
    <row r="1110" spans="2:3">
      <c r="B1110" s="37">
        <v>45828</v>
      </c>
      <c r="C1110" s="36">
        <v>417.25</v>
      </c>
    </row>
    <row r="1111" spans="2:3">
      <c r="B1111" s="37">
        <v>45831</v>
      </c>
      <c r="C1111" s="36">
        <v>413.4</v>
      </c>
    </row>
    <row r="1112" spans="2:3">
      <c r="B1112" s="37">
        <v>45832</v>
      </c>
      <c r="C1112" s="36">
        <v>414.55</v>
      </c>
    </row>
    <row r="1113" spans="2:3">
      <c r="B1113" s="37">
        <v>45833</v>
      </c>
      <c r="C1113" s="36">
        <v>416.1</v>
      </c>
    </row>
    <row r="1114" spans="2:3">
      <c r="B1114" s="37">
        <v>45834</v>
      </c>
      <c r="C1114" s="36">
        <v>420</v>
      </c>
    </row>
    <row r="1115" spans="2:3">
      <c r="B1115" s="37">
        <v>45835</v>
      </c>
      <c r="C1115" s="36">
        <v>420</v>
      </c>
    </row>
    <row r="1116" spans="2:3">
      <c r="B1116" s="37">
        <v>45838</v>
      </c>
      <c r="C1116" s="36">
        <v>416.3</v>
      </c>
    </row>
    <row r="1117" spans="2:3">
      <c r="B1117" s="37">
        <v>45839</v>
      </c>
      <c r="C1117" s="36">
        <v>415.1</v>
      </c>
    </row>
    <row r="1118" spans="2:3">
      <c r="B1118" s="37">
        <v>45840</v>
      </c>
      <c r="C1118" s="36">
        <v>413.2</v>
      </c>
    </row>
    <row r="1119" spans="2:3">
      <c r="B1119" s="37">
        <v>45841</v>
      </c>
      <c r="C1119" s="36">
        <v>413.9</v>
      </c>
    </row>
    <row r="1120" spans="2:3">
      <c r="B1120" s="37">
        <v>45842</v>
      </c>
      <c r="C1120" s="36">
        <v>412.7</v>
      </c>
    </row>
    <row r="1121" spans="2:3">
      <c r="B1121" s="37">
        <v>45845</v>
      </c>
      <c r="C1121" s="36">
        <v>416.5</v>
      </c>
    </row>
    <row r="1122" spans="2:3">
      <c r="B1122" s="37">
        <v>45846</v>
      </c>
      <c r="C1122" s="36">
        <v>418</v>
      </c>
    </row>
    <row r="1123" spans="2:3">
      <c r="B1123" s="37">
        <v>45847</v>
      </c>
      <c r="C1123" s="36">
        <v>419.1</v>
      </c>
    </row>
    <row r="1124" spans="2:3">
      <c r="B1124" s="37">
        <v>45848</v>
      </c>
      <c r="C1124" s="36">
        <v>416.65</v>
      </c>
    </row>
    <row r="1125" spans="2:3">
      <c r="B1125" s="37">
        <v>45849</v>
      </c>
      <c r="C1125" s="36">
        <v>416.65</v>
      </c>
    </row>
    <row r="1126" spans="2:3">
      <c r="B1126" s="37">
        <v>45852</v>
      </c>
      <c r="C1126" s="36">
        <v>419.35</v>
      </c>
    </row>
    <row r="1127" spans="2:3">
      <c r="B1127" s="37">
        <v>45853</v>
      </c>
      <c r="C1127" s="36">
        <v>422.3</v>
      </c>
    </row>
    <row r="1128" spans="2:3">
      <c r="B1128" s="37">
        <v>45854</v>
      </c>
      <c r="C1128" s="36">
        <v>424.4</v>
      </c>
    </row>
    <row r="1129" spans="2:3">
      <c r="B1129" s="37">
        <v>45855</v>
      </c>
      <c r="C1129" s="36">
        <v>423.25</v>
      </c>
    </row>
    <row r="1130" spans="2:3">
      <c r="B1130" s="37">
        <v>45856</v>
      </c>
      <c r="C1130" s="36">
        <v>422</v>
      </c>
    </row>
    <row r="1131" spans="2:3">
      <c r="B1131" s="37">
        <v>45859</v>
      </c>
      <c r="C1131" s="36">
        <v>420.3</v>
      </c>
    </row>
    <row r="1132" spans="2:3">
      <c r="B1132" s="37">
        <v>45860</v>
      </c>
      <c r="C1132" s="36">
        <v>415.95</v>
      </c>
    </row>
    <row r="1133" spans="2:3">
      <c r="B1133" s="37">
        <v>45861</v>
      </c>
      <c r="C1133" s="36">
        <v>415</v>
      </c>
    </row>
    <row r="1134" spans="2:3">
      <c r="B1134" s="37">
        <v>45862</v>
      </c>
      <c r="C1134" s="36">
        <v>410</v>
      </c>
    </row>
    <row r="1135" spans="2:3">
      <c r="B1135" s="37">
        <v>45863</v>
      </c>
      <c r="C1135" s="36">
        <v>409.6</v>
      </c>
    </row>
    <row r="1136" spans="2:3">
      <c r="B1136" s="37">
        <v>45866</v>
      </c>
      <c r="C1136" s="36">
        <v>409.8</v>
      </c>
    </row>
    <row r="1137" spans="2:3">
      <c r="B1137" s="37">
        <v>45867</v>
      </c>
      <c r="C1137" s="36">
        <v>408.2</v>
      </c>
    </row>
    <row r="1138" spans="2:3">
      <c r="B1138" s="37">
        <v>45868</v>
      </c>
      <c r="C1138" s="36">
        <v>407.8</v>
      </c>
    </row>
    <row r="1139" spans="2:3">
      <c r="B1139" s="37">
        <v>45869</v>
      </c>
      <c r="C1139" s="36">
        <v>411.7</v>
      </c>
    </row>
    <row r="1140" spans="2:3">
      <c r="B1140" s="37">
        <v>45870</v>
      </c>
      <c r="C1140" s="36">
        <v>416.6</v>
      </c>
    </row>
    <row r="1141" spans="2:3">
      <c r="B1141" s="37">
        <v>45873</v>
      </c>
      <c r="C1141" s="36">
        <v>416.65</v>
      </c>
    </row>
    <row r="1142" spans="2:3">
      <c r="B1142" s="37">
        <v>45874</v>
      </c>
      <c r="C1142" s="36">
        <v>413.8</v>
      </c>
    </row>
    <row r="1143" spans="2:3">
      <c r="B1143" s="37">
        <v>45875</v>
      </c>
      <c r="C1143" s="36">
        <v>412.2</v>
      </c>
    </row>
    <row r="1144" spans="2:3">
      <c r="B1144" s="37">
        <v>45876</v>
      </c>
      <c r="C1144" s="36">
        <v>413.8</v>
      </c>
    </row>
    <row r="1145" spans="2:3">
      <c r="B1145" s="37">
        <v>45877</v>
      </c>
      <c r="C1145" s="36">
        <v>414.45</v>
      </c>
    </row>
    <row r="1146" spans="2:3">
      <c r="B1146" s="37">
        <v>45880</v>
      </c>
      <c r="C1146" s="36">
        <v>417</v>
      </c>
    </row>
    <row r="1147" spans="2:3">
      <c r="B1147" s="37">
        <v>45881</v>
      </c>
      <c r="C1147" s="36">
        <v>416.1</v>
      </c>
    </row>
    <row r="1148" spans="2:3">
      <c r="B1148" s="37">
        <v>45882</v>
      </c>
      <c r="C1148" s="36">
        <v>414.2</v>
      </c>
    </row>
    <row r="1149" spans="2:3">
      <c r="B1149" s="37">
        <v>45883</v>
      </c>
      <c r="C1149" s="36">
        <v>411.45</v>
      </c>
    </row>
    <row r="1150" spans="2:3">
      <c r="B1150" s="37">
        <v>45887</v>
      </c>
      <c r="C1150" s="36">
        <v>405.3</v>
      </c>
    </row>
    <row r="1151" spans="2:3">
      <c r="B1151" s="37">
        <v>45888</v>
      </c>
      <c r="C1151" s="36">
        <v>409.1</v>
      </c>
    </row>
    <row r="1152" spans="2:3">
      <c r="B1152" s="37">
        <v>45889</v>
      </c>
      <c r="C1152" s="36">
        <v>406.25</v>
      </c>
    </row>
    <row r="1153" spans="2:3">
      <c r="B1153" s="37">
        <v>45890</v>
      </c>
      <c r="C1153" s="36">
        <v>406</v>
      </c>
    </row>
    <row r="1154" spans="2:3">
      <c r="B1154" s="37">
        <v>45891</v>
      </c>
      <c r="C1154" s="36">
        <v>398.3</v>
      </c>
    </row>
    <row r="1155" spans="2:3">
      <c r="B1155" s="37">
        <v>45894</v>
      </c>
      <c r="C1155" s="36">
        <v>399.15</v>
      </c>
    </row>
    <row r="1156" spans="2:3">
      <c r="B1156" s="37">
        <v>45895</v>
      </c>
      <c r="C1156" s="36">
        <v>403.35</v>
      </c>
    </row>
    <row r="1157" spans="2:3">
      <c r="B1157" s="37">
        <v>45897</v>
      </c>
      <c r="C1157" s="36">
        <v>400.8</v>
      </c>
    </row>
    <row r="1158" spans="2:3">
      <c r="B1158" s="37">
        <v>45898</v>
      </c>
      <c r="C1158" s="36">
        <v>409.5</v>
      </c>
    </row>
    <row r="1159" spans="2:3">
      <c r="B1159" s="37">
        <v>45901</v>
      </c>
      <c r="C1159" s="36">
        <v>405.55</v>
      </c>
    </row>
    <row r="1160" spans="2:3">
      <c r="B1160" s="37">
        <v>45902</v>
      </c>
      <c r="C1160" s="36">
        <v>407</v>
      </c>
    </row>
    <row r="1161" spans="2:3">
      <c r="B1161" s="37">
        <v>45903</v>
      </c>
      <c r="C1161" s="36">
        <v>411.1</v>
      </c>
    </row>
    <row r="1162" spans="2:3">
      <c r="B1162" s="37">
        <v>45904</v>
      </c>
      <c r="C1162" s="36">
        <v>415.75</v>
      </c>
    </row>
    <row r="1163" spans="2:3">
      <c r="B1163" s="37">
        <v>45905</v>
      </c>
      <c r="C1163" s="36">
        <v>407.9</v>
      </c>
    </row>
    <row r="1164" spans="2:3">
      <c r="B1164" s="37">
        <v>45908</v>
      </c>
      <c r="C1164" s="36">
        <v>408.4</v>
      </c>
    </row>
    <row r="1165" spans="2:3">
      <c r="B1165" s="37">
        <v>45909</v>
      </c>
      <c r="C1165" s="36">
        <v>410</v>
      </c>
    </row>
    <row r="1166" spans="2:3">
      <c r="B1166" s="37">
        <v>45910</v>
      </c>
      <c r="C1166" s="36">
        <v>413</v>
      </c>
    </row>
    <row r="1167" spans="2:3">
      <c r="B1167" s="37">
        <v>45911</v>
      </c>
      <c r="C1167" s="36">
        <v>415.35</v>
      </c>
    </row>
    <row r="1168" spans="2:3">
      <c r="B1168" s="37">
        <v>45912</v>
      </c>
      <c r="C1168" s="36">
        <v>413.55</v>
      </c>
    </row>
    <row r="1169" spans="2:3">
      <c r="B1169" s="37">
        <v>45915</v>
      </c>
      <c r="C1169" s="36">
        <v>412.8</v>
      </c>
    </row>
    <row r="1170" spans="2:3">
      <c r="B1170" s="37">
        <v>45916</v>
      </c>
      <c r="C1170" s="36">
        <v>413.65</v>
      </c>
    </row>
    <row r="1171" spans="2:3">
      <c r="B1171" s="37">
        <v>45917</v>
      </c>
      <c r="C1171" s="36">
        <v>410.05</v>
      </c>
    </row>
    <row r="1172" spans="2:3">
      <c r="B1172" s="37">
        <v>45918</v>
      </c>
      <c r="C1172" s="36">
        <v>412.5</v>
      </c>
    </row>
    <row r="1173" spans="2:3">
      <c r="B1173" s="37">
        <v>45919</v>
      </c>
      <c r="C1173" s="36">
        <v>410</v>
      </c>
    </row>
    <row r="1174" spans="2:3">
      <c r="B1174" s="37">
        <v>45922</v>
      </c>
      <c r="C1174" s="36">
        <v>407</v>
      </c>
    </row>
    <row r="1175" spans="2:3">
      <c r="B1175" s="37">
        <v>45923</v>
      </c>
      <c r="C1175" s="36">
        <v>404</v>
      </c>
    </row>
    <row r="1176" spans="2:3">
      <c r="B1176" s="37">
        <v>45924</v>
      </c>
      <c r="C1176" s="36">
        <v>401</v>
      </c>
    </row>
    <row r="1177" spans="2:3">
      <c r="B1177" s="37">
        <v>45925</v>
      </c>
      <c r="C1177" s="36">
        <v>400.45</v>
      </c>
    </row>
    <row r="1178" spans="2:3">
      <c r="B1178" s="37">
        <v>45926</v>
      </c>
      <c r="C1178" s="36">
        <v>405</v>
      </c>
    </row>
    <row r="1179" spans="2:3">
      <c r="B1179" s="37">
        <v>45929</v>
      </c>
      <c r="C1179" s="36">
        <v>404.4</v>
      </c>
    </row>
    <row r="1180" spans="2:3">
      <c r="B1180" s="37">
        <v>45930</v>
      </c>
      <c r="C1180" s="36">
        <v>401.7</v>
      </c>
    </row>
    <row r="1181" spans="2:3">
      <c r="B1181" s="37">
        <v>45931</v>
      </c>
      <c r="C1181" s="36">
        <v>404.9</v>
      </c>
    </row>
    <row r="1182" spans="2:3">
      <c r="B1182" s="37">
        <v>45933</v>
      </c>
      <c r="C1182" s="36">
        <v>404.6</v>
      </c>
    </row>
    <row r="1183" spans="2:3">
      <c r="B1183" s="37">
        <v>45936</v>
      </c>
      <c r="C1183" s="36">
        <v>401.1</v>
      </c>
    </row>
    <row r="1184" spans="2:3">
      <c r="B1184" s="37">
        <v>45937</v>
      </c>
      <c r="C1184" s="36">
        <v>399.9</v>
      </c>
    </row>
    <row r="1185" spans="2:3">
      <c r="B1185" s="37">
        <v>45938</v>
      </c>
      <c r="C1185" s="36">
        <v>399.5</v>
      </c>
    </row>
    <row r="1186" spans="2:3">
      <c r="B1186" s="37">
        <v>45939</v>
      </c>
      <c r="C1186" s="36">
        <v>399.3</v>
      </c>
    </row>
    <row r="1187" spans="2:3">
      <c r="B1187" s="37">
        <v>45940</v>
      </c>
      <c r="C1187" s="36">
        <v>402.5</v>
      </c>
    </row>
    <row r="1188" spans="2:3">
      <c r="B1188" s="37">
        <v>45943</v>
      </c>
      <c r="C1188" s="36">
        <v>399.4</v>
      </c>
    </row>
    <row r="1189" spans="2:3">
      <c r="B1189" s="37">
        <v>45944</v>
      </c>
      <c r="C1189" s="36">
        <v>396.7</v>
      </c>
    </row>
    <row r="1190" spans="2:3">
      <c r="B1190" s="37">
        <v>45945</v>
      </c>
      <c r="C1190" s="36">
        <v>400.3</v>
      </c>
    </row>
    <row r="1191" spans="2:3">
      <c r="B1191" s="37">
        <v>45946</v>
      </c>
      <c r="C1191" s="36">
        <v>405.45</v>
      </c>
    </row>
    <row r="1192" spans="2:3">
      <c r="B1192" s="37">
        <v>45947</v>
      </c>
      <c r="C1192" s="36">
        <v>411.4</v>
      </c>
    </row>
    <row r="1193" spans="2:3">
      <c r="B1193" s="37">
        <v>45950</v>
      </c>
      <c r="C1193" s="36">
        <v>412.6</v>
      </c>
    </row>
    <row r="1194" spans="2:3">
      <c r="B1194" s="37">
        <v>45951</v>
      </c>
      <c r="C1194" s="36">
        <v>412.5</v>
      </c>
    </row>
    <row r="1195" spans="2:3">
      <c r="B1195" s="37">
        <v>45953</v>
      </c>
      <c r="C1195" s="36">
        <v>416.25</v>
      </c>
    </row>
    <row r="1196" spans="2:3">
      <c r="B1196" s="37">
        <v>45954</v>
      </c>
      <c r="C1196" s="36">
        <v>417.8</v>
      </c>
    </row>
    <row r="1197" spans="2:3">
      <c r="B1197" s="37">
        <v>45957</v>
      </c>
      <c r="C1197" s="36">
        <v>421</v>
      </c>
    </row>
    <row r="1198" spans="2:3">
      <c r="B1198" s="37">
        <v>45958</v>
      </c>
      <c r="C1198" s="36">
        <v>417.85</v>
      </c>
    </row>
    <row r="1199" spans="2:3">
      <c r="B1199" s="37">
        <v>45959</v>
      </c>
      <c r="C1199" s="36">
        <v>421.85</v>
      </c>
    </row>
    <row r="1200" spans="2:3">
      <c r="B1200" s="37">
        <v>45960</v>
      </c>
      <c r="C1200" s="36">
        <v>419.35</v>
      </c>
    </row>
    <row r="1201" spans="2:3">
      <c r="B1201" s="37">
        <v>45961</v>
      </c>
      <c r="C1201" s="36">
        <v>419.95</v>
      </c>
    </row>
    <row r="1202" spans="2:3">
      <c r="B1202" s="37">
        <v>45964</v>
      </c>
      <c r="C1202" s="36">
        <v>414</v>
      </c>
    </row>
    <row r="1203" spans="2:3">
      <c r="B1203" s="37">
        <v>45965</v>
      </c>
      <c r="C1203" s="36">
        <v>408.8</v>
      </c>
    </row>
    <row r="1204" spans="2:3">
      <c r="B1204" s="37">
        <v>45967</v>
      </c>
      <c r="C1204" s="36">
        <v>408.5</v>
      </c>
    </row>
    <row r="1205" spans="2:3">
      <c r="B1205" s="37">
        <v>45968</v>
      </c>
      <c r="C1205" s="36">
        <v>404.4</v>
      </c>
    </row>
    <row r="1206" spans="2:3">
      <c r="B1206" s="37">
        <v>45971</v>
      </c>
      <c r="C1206" s="36">
        <v>406</v>
      </c>
    </row>
    <row r="1207" spans="2:3">
      <c r="B1207" s="37">
        <v>45972</v>
      </c>
      <c r="C1207" s="36">
        <v>407.2</v>
      </c>
    </row>
    <row r="1208" spans="2:3">
      <c r="B1208" s="37">
        <v>45973</v>
      </c>
      <c r="C1208" s="36">
        <v>407.4</v>
      </c>
    </row>
    <row r="1209" spans="2:3">
      <c r="B1209" s="37">
        <v>45974</v>
      </c>
      <c r="C1209" s="36">
        <v>406.5</v>
      </c>
    </row>
    <row r="1210" spans="2:3">
      <c r="B1210" s="37">
        <v>45975</v>
      </c>
      <c r="C1210" s="36">
        <v>408.25</v>
      </c>
    </row>
    <row r="1211" spans="2:3">
      <c r="B1211" s="37">
        <v>45978</v>
      </c>
      <c r="C1211" s="36">
        <v>407.5</v>
      </c>
    </row>
    <row r="1212" spans="2:3">
      <c r="B1212" s="37">
        <v>45979</v>
      </c>
      <c r="C1212" s="36">
        <v>405.7</v>
      </c>
    </row>
    <row r="1213" spans="2:3">
      <c r="B1213" s="37">
        <v>45980</v>
      </c>
      <c r="C1213" s="36">
        <v>403.7</v>
      </c>
    </row>
    <row r="1214" spans="2:3">
      <c r="B1214" s="37">
        <v>45981</v>
      </c>
      <c r="C1214" s="36">
        <v>405.6</v>
      </c>
    </row>
    <row r="1215" spans="2:3">
      <c r="B1215" s="37">
        <v>45982</v>
      </c>
      <c r="C1215" s="36">
        <v>408</v>
      </c>
    </row>
    <row r="1216" spans="2:3">
      <c r="B1216" s="37">
        <v>45985</v>
      </c>
      <c r="C1216" s="36">
        <v>404.2</v>
      </c>
    </row>
    <row r="1217" spans="2:3">
      <c r="B1217" s="37">
        <v>45986</v>
      </c>
      <c r="C1217" s="36">
        <v>400.4</v>
      </c>
    </row>
    <row r="1218" spans="2:3">
      <c r="B1218" s="37">
        <v>45987</v>
      </c>
      <c r="C1218" s="36">
        <v>402.55</v>
      </c>
    </row>
    <row r="1219" spans="2:3">
      <c r="B1219" s="37">
        <v>45988</v>
      </c>
      <c r="C1219" s="36">
        <v>405</v>
      </c>
    </row>
    <row r="1220" spans="2:3">
      <c r="B1220" s="37">
        <v>45989</v>
      </c>
      <c r="C1220" s="36">
        <v>404.3</v>
      </c>
    </row>
    <row r="1221" spans="2:3">
      <c r="B1221" s="37">
        <v>45992</v>
      </c>
      <c r="C1221" s="36">
        <v>404.05</v>
      </c>
    </row>
    <row r="1222" spans="2:3">
      <c r="B1222" s="37">
        <v>45993</v>
      </c>
      <c r="C1222" s="36">
        <v>401.7</v>
      </c>
    </row>
    <row r="1223" spans="2:3">
      <c r="B1223" s="37">
        <v>45994</v>
      </c>
      <c r="C1223" s="36">
        <v>400.7</v>
      </c>
    </row>
    <row r="1224" spans="2:3">
      <c r="B1224" s="37">
        <v>45995</v>
      </c>
      <c r="C1224" s="36">
        <v>403.25</v>
      </c>
    </row>
    <row r="1225" spans="2:3">
      <c r="B1225" s="37">
        <v>45996</v>
      </c>
      <c r="C1225" s="36">
        <v>404.6</v>
      </c>
    </row>
    <row r="1226" spans="2:3">
      <c r="B1226" s="37">
        <v>45999</v>
      </c>
      <c r="C1226" s="36">
        <v>402</v>
      </c>
    </row>
    <row r="1227" spans="2:3">
      <c r="B1227" s="37">
        <v>46000</v>
      </c>
      <c r="C1227" s="36">
        <v>401.25</v>
      </c>
    </row>
    <row r="1228" spans="2:3">
      <c r="B1228" s="37">
        <v>46001</v>
      </c>
      <c r="C1228" s="36">
        <v>403.05</v>
      </c>
    </row>
    <row r="1229" spans="2:3">
      <c r="B1229" s="37">
        <v>46002</v>
      </c>
      <c r="C1229" s="36">
        <v>403</v>
      </c>
    </row>
    <row r="1230" spans="2:3">
      <c r="B1230" s="37">
        <v>46003</v>
      </c>
      <c r="C1230" s="36">
        <v>400.7</v>
      </c>
    </row>
    <row r="1231" spans="2:3">
      <c r="B1231" s="37">
        <v>46006</v>
      </c>
      <c r="C1231" s="36">
        <v>402</v>
      </c>
    </row>
    <row r="1232" spans="2:3">
      <c r="B1232" s="37">
        <v>46007</v>
      </c>
      <c r="C1232" s="36">
        <v>402</v>
      </c>
    </row>
    <row r="1233" spans="2:3">
      <c r="B1233" s="37">
        <v>46008</v>
      </c>
      <c r="C1233" s="36">
        <v>400.25</v>
      </c>
    </row>
    <row r="1234" spans="2:3">
      <c r="B1234" s="37">
        <v>46009</v>
      </c>
      <c r="C1234" s="36">
        <v>400.85</v>
      </c>
    </row>
    <row r="1235" spans="2:3">
      <c r="B1235" s="37">
        <v>46010</v>
      </c>
      <c r="C1235" s="36">
        <v>400.9</v>
      </c>
    </row>
    <row r="1236" spans="2:3">
      <c r="B1236" s="37">
        <v>46013</v>
      </c>
      <c r="C1236" s="36">
        <v>402.85</v>
      </c>
    </row>
    <row r="1237" spans="2:3">
      <c r="B1237" s="37">
        <v>46014</v>
      </c>
      <c r="C1237" s="36">
        <v>408.85</v>
      </c>
    </row>
    <row r="1238" spans="2:3">
      <c r="B1238" s="37">
        <v>46015</v>
      </c>
      <c r="C1238" s="36">
        <v>406.8</v>
      </c>
    </row>
    <row r="1239" spans="2:3">
      <c r="B1239" s="37">
        <v>46017</v>
      </c>
      <c r="C1239" s="36">
        <v>404.9</v>
      </c>
    </row>
    <row r="1240" spans="2:3">
      <c r="B1240" s="37">
        <v>46020</v>
      </c>
      <c r="C1240" s="36">
        <v>402.95</v>
      </c>
    </row>
    <row r="1241" spans="2:3">
      <c r="B1241" s="37">
        <v>46021</v>
      </c>
      <c r="C1241" s="36">
        <v>401.1</v>
      </c>
    </row>
    <row r="1242" spans="2:3">
      <c r="B1242" s="37">
        <v>46022</v>
      </c>
      <c r="C1242" s="36">
        <v>402.7</v>
      </c>
    </row>
    <row r="1243" spans="2:3">
      <c r="B1243" s="37">
        <v>46023</v>
      </c>
      <c r="C1243" s="36">
        <v>363.95</v>
      </c>
    </row>
    <row r="1244" spans="2:3">
      <c r="B1244" s="37">
        <v>46024</v>
      </c>
      <c r="C1244" s="36">
        <v>350.1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0FD5-B47F-453A-8EC0-D7B6E36883B9}">
  <dimension ref="B2:P57"/>
  <sheetViews>
    <sheetView showGridLines="0" tabSelected="1" view="pageBreakPreview" topLeftCell="A24" zoomScale="60" zoomScaleNormal="95" workbookViewId="0">
      <selection activeCell="L61" sqref="L61"/>
    </sheetView>
  </sheetViews>
  <sheetFormatPr defaultRowHeight="14.4"/>
  <cols>
    <col min="1" max="1" width="1.88671875" customWidth="1"/>
    <col min="2" max="2" width="38.6640625" customWidth="1"/>
    <col min="3" max="3" width="10.88671875" customWidth="1"/>
    <col min="4" max="4" width="10.6640625" customWidth="1"/>
    <col min="5" max="5" width="15.44140625" customWidth="1"/>
    <col min="7" max="7" width="11.109375" customWidth="1"/>
    <col min="8" max="8" width="1.88671875" customWidth="1"/>
    <col min="9" max="9" width="12.6640625" customWidth="1"/>
    <col min="10" max="10" width="13" customWidth="1"/>
    <col min="11" max="11" width="12.5546875" customWidth="1"/>
    <col min="12" max="12" width="38.44140625" customWidth="1"/>
    <col min="13" max="13" width="24.44140625" customWidth="1"/>
    <col min="14" max="14" width="16.109375" customWidth="1"/>
  </cols>
  <sheetData>
    <row r="2" spans="2:11" ht="18">
      <c r="B2" s="73" t="str">
        <f>'Data Sheet'!B1&amp;" One Page Profile"</f>
        <v>ITC LTD One Page Profile</v>
      </c>
      <c r="C2" s="73"/>
      <c r="D2" s="73"/>
      <c r="E2" s="73"/>
      <c r="F2" s="73"/>
      <c r="G2" s="73"/>
      <c r="H2" s="73"/>
      <c r="I2" s="73"/>
      <c r="J2" s="73"/>
      <c r="K2" s="73"/>
    </row>
    <row r="3" spans="2:11" ht="8.4" customHeight="1"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2:11" ht="49.2" customHeight="1">
      <c r="B4" s="28"/>
      <c r="C4" s="74" t="str">
        <f>'Input Sheet'!C2</f>
        <v>ITC Limited is an Indian conglomerate, headquartered in Kolkata. It has a presence across six business segments, namely FMCG, agribusiness, information technology, paper products, and packaging. It generates a plurality of its revenue from tobacco products.</v>
      </c>
      <c r="D4" s="74"/>
      <c r="E4" s="74"/>
      <c r="F4" s="74"/>
      <c r="G4" s="74"/>
      <c r="H4" s="74"/>
      <c r="I4" s="74"/>
      <c r="J4" s="74"/>
      <c r="K4" s="74"/>
    </row>
    <row r="5" spans="2:11">
      <c r="B5" s="31" t="s">
        <v>97</v>
      </c>
    </row>
    <row r="6" spans="2:11" ht="15.6">
      <c r="B6" s="29" t="s">
        <v>95</v>
      </c>
      <c r="C6" s="30">
        <f>'Data Sheet'!G16</f>
        <v>44286</v>
      </c>
      <c r="D6" s="30">
        <f>'Data Sheet'!H16</f>
        <v>44651</v>
      </c>
      <c r="E6" s="30">
        <f>'Data Sheet'!I16</f>
        <v>45016</v>
      </c>
      <c r="F6" s="30">
        <f>'Data Sheet'!J16</f>
        <v>45382</v>
      </c>
      <c r="G6" s="30">
        <f>'Data Sheet'!K16</f>
        <v>45747</v>
      </c>
      <c r="I6" s="69" t="s">
        <v>126</v>
      </c>
      <c r="J6" s="75"/>
      <c r="K6" s="75"/>
    </row>
    <row r="7" spans="2:11" ht="11.4" customHeight="1">
      <c r="B7" s="33"/>
      <c r="C7" s="34"/>
      <c r="D7" s="34"/>
      <c r="E7" s="34"/>
      <c r="F7" s="34"/>
      <c r="G7" s="34"/>
    </row>
    <row r="8" spans="2:11">
      <c r="B8" s="43" t="s">
        <v>96</v>
      </c>
      <c r="C8" s="44">
        <f>'Data Sheet'!G17</f>
        <v>49257.45</v>
      </c>
      <c r="D8" s="44">
        <f>'Data Sheet'!H17</f>
        <v>60644.54</v>
      </c>
      <c r="E8" s="44">
        <f>'Data Sheet'!I17</f>
        <v>70919.03</v>
      </c>
      <c r="F8" s="44">
        <f>'Data Sheet'!J17</f>
        <v>67931.94</v>
      </c>
      <c r="G8" s="44">
        <f>'Data Sheet'!K17</f>
        <v>75323.34</v>
      </c>
    </row>
    <row r="9" spans="2:11">
      <c r="B9" s="45" t="s">
        <v>99</v>
      </c>
      <c r="C9" s="46">
        <f>'Data Sheet'!G95</f>
        <v>1.3504498787849871E-3</v>
      </c>
      <c r="D9" s="46">
        <f>'Data Sheet'!H95</f>
        <v>1.1780189782918059E-3</v>
      </c>
      <c r="E9" s="46">
        <f>'Data Sheet'!I95</f>
        <v>8.4961008820689486E-3</v>
      </c>
      <c r="F9" s="46">
        <f>'Data Sheet'!J95</f>
        <v>4.5622787254587004E-3</v>
      </c>
      <c r="G9" s="46">
        <f>'Data Sheet'!K95</f>
        <v>2.3548823760283022E-3</v>
      </c>
    </row>
    <row r="10" spans="2:11">
      <c r="B10" s="43" t="s">
        <v>102</v>
      </c>
      <c r="C10" s="47">
        <f>'Data Sheet'!G98</f>
        <v>0.51867747924425645</v>
      </c>
      <c r="D10" s="47">
        <f>'Data Sheet'!H98</f>
        <v>0.49650026201864172</v>
      </c>
      <c r="E10" s="47">
        <f>'Data Sheet'!I98</f>
        <v>0.53068887152009836</v>
      </c>
      <c r="F10" s="47">
        <f>'Data Sheet'!J98</f>
        <v>0.54582483585777175</v>
      </c>
      <c r="G10" s="47">
        <f>'Data Sheet'!K98</f>
        <v>0.51209372818571242</v>
      </c>
    </row>
    <row r="11" spans="2:11">
      <c r="B11" s="43" t="s">
        <v>104</v>
      </c>
      <c r="C11" s="47">
        <f>'Data Sheet'!G99</f>
        <v>0.41868082899135062</v>
      </c>
      <c r="D11" s="47">
        <f>'Data Sheet'!H99</f>
        <v>0.42385118264562638</v>
      </c>
      <c r="E11" s="47">
        <f>'Data Sheet'!I99</f>
        <v>0.35515897496059945</v>
      </c>
      <c r="F11" s="47">
        <f>'Data Sheet'!J99</f>
        <v>0.38037262000761346</v>
      </c>
      <c r="G11" s="47">
        <f>'Data Sheet'!K99</f>
        <v>0.35038873740861731</v>
      </c>
    </row>
    <row r="12" spans="2:11">
      <c r="B12" s="43" t="s">
        <v>105</v>
      </c>
      <c r="C12" s="47">
        <f>'Data Sheet'!G100</f>
        <v>0.31303264785326884</v>
      </c>
      <c r="D12" s="47">
        <f>'Data Sheet'!H100</f>
        <v>0.3114994358931571</v>
      </c>
      <c r="E12" s="47">
        <f>'Data Sheet'!I100</f>
        <v>0.33693706752616326</v>
      </c>
      <c r="F12" s="47">
        <f>'Data Sheet'!J100</f>
        <v>0.34842932499793172</v>
      </c>
      <c r="G12" s="47">
        <f>'Data Sheet'!K100</f>
        <v>0.3211903508261848</v>
      </c>
    </row>
    <row r="13" spans="2:11">
      <c r="B13" s="43" t="s">
        <v>108</v>
      </c>
      <c r="C13" s="47">
        <f>'Data Sheet'!G101</f>
        <v>0.26719186640802561</v>
      </c>
      <c r="D13" s="47">
        <f>'Data Sheet'!H101</f>
        <v>0.25134430898478244</v>
      </c>
      <c r="E13" s="47">
        <f>'Data Sheet'!I101</f>
        <v>0.27061368436652333</v>
      </c>
      <c r="F13" s="47">
        <f>'Data Sheet'!J101</f>
        <v>0.30116584334261615</v>
      </c>
      <c r="G13" s="47">
        <f>'Data Sheet'!K101</f>
        <v>0.46129964497060272</v>
      </c>
    </row>
    <row r="14" spans="2:11">
      <c r="B14" s="43" t="s">
        <v>113</v>
      </c>
      <c r="C14" s="48">
        <f>'Profit &amp; Loss'!G13</f>
        <v>10.692504549590536</v>
      </c>
      <c r="D14" s="48">
        <f>'Profit &amp; Loss'!H13</f>
        <v>12.368975842509718</v>
      </c>
      <c r="E14" s="48">
        <f>'Profit &amp; Loss'!I13</f>
        <v>15.442275506919859</v>
      </c>
      <c r="F14" s="48">
        <f>'Profit &amp; Loss'!J13</f>
        <v>16.387081788108645</v>
      </c>
      <c r="G14" s="48">
        <f>'Profit &amp; Loss'!K13</f>
        <v>27.765983970081745</v>
      </c>
    </row>
    <row r="15" spans="2:11">
      <c r="B15" s="45" t="s">
        <v>110</v>
      </c>
      <c r="C15" s="46">
        <f>'Data Sheet'!G102</f>
        <v>-0.14130125821657721</v>
      </c>
      <c r="D15" s="46">
        <f>'Data Sheet'!H102</f>
        <v>0.15678939252669116</v>
      </c>
      <c r="E15" s="46">
        <f>'Data Sheet'!I102</f>
        <v>0.24846840219768399</v>
      </c>
      <c r="F15" s="46">
        <f>'Data Sheet'!J102</f>
        <v>6.1183099651693648E-2</v>
      </c>
      <c r="G15" s="46">
        <f>'Data Sheet'!K102</f>
        <v>0.69438246108164592</v>
      </c>
    </row>
    <row r="16" spans="2:11">
      <c r="B16" s="43" t="s">
        <v>114</v>
      </c>
      <c r="C16" s="48">
        <f>'Data Sheet'!G103</f>
        <v>10.749999999999998</v>
      </c>
      <c r="D16" s="48">
        <f>'Data Sheet'!H103</f>
        <v>11.500004057354767</v>
      </c>
      <c r="E16" s="48">
        <f>'Data Sheet'!I103</f>
        <v>15.500000000000004</v>
      </c>
      <c r="F16" s="48">
        <f>'Data Sheet'!J103</f>
        <v>13.749997997549</v>
      </c>
      <c r="G16" s="48">
        <f>'Data Sheet'!K103</f>
        <v>14.349997203154841</v>
      </c>
    </row>
    <row r="17" spans="2:11">
      <c r="B17" s="45" t="s">
        <v>115</v>
      </c>
      <c r="C17" s="46">
        <f>'Data Sheet'!G104</f>
        <v>5.9113555156941722E-2</v>
      </c>
      <c r="D17" s="46">
        <f>'Data Sheet'!H104</f>
        <v>6.9767819288815591E-2</v>
      </c>
      <c r="E17" s="46">
        <f>'Data Sheet'!I104</f>
        <v>0.34782561142550739</v>
      </c>
      <c r="F17" s="46">
        <f>'Data Sheet'!J104</f>
        <v>-0.1129033549968389</v>
      </c>
      <c r="G17" s="46">
        <f>'Data Sheet'!K104</f>
        <v>4.3636312217121276E-2</v>
      </c>
    </row>
    <row r="19" spans="2:11" ht="15.6">
      <c r="B19" s="29" t="s">
        <v>127</v>
      </c>
      <c r="C19" s="30">
        <v>44286</v>
      </c>
      <c r="D19" s="30">
        <v>44651</v>
      </c>
      <c r="E19" s="30">
        <v>45016</v>
      </c>
      <c r="F19" s="30">
        <v>45382</v>
      </c>
      <c r="G19" s="30">
        <v>45747</v>
      </c>
      <c r="I19" s="69" t="s">
        <v>159</v>
      </c>
      <c r="J19" s="75"/>
      <c r="K19" s="75"/>
    </row>
    <row r="20" spans="2:11" ht="3.6" customHeight="1"/>
    <row r="21" spans="2:11">
      <c r="B21" s="43" t="s">
        <v>128</v>
      </c>
      <c r="C21" s="49">
        <f>'Profit &amp; Loss'!G14</f>
        <v>19.155474664525016</v>
      </c>
      <c r="D21" s="49">
        <f>'Profit &amp; Loss'!H14</f>
        <v>18.995913889045614</v>
      </c>
      <c r="E21" s="49">
        <f>'Profit &amp; Loss'!I14</f>
        <v>23.279600201337455</v>
      </c>
      <c r="F21" s="49">
        <f>'Profit &amp; Loss'!J14</f>
        <v>24.502837368601647</v>
      </c>
      <c r="G21" s="49">
        <f>'Profit &amp; Loss'!K14</f>
        <v>14.757265596692401</v>
      </c>
    </row>
    <row r="22" spans="2:11">
      <c r="B22" s="43" t="s">
        <v>129</v>
      </c>
      <c r="C22" s="49">
        <f>'Profit &amp; Loss'!E31</f>
        <v>18.202942291228695</v>
      </c>
      <c r="D22" s="49">
        <f>'Profit &amp; Loss'!F31</f>
        <v>9.8659846646477352</v>
      </c>
      <c r="E22" s="49">
        <f>'Profit &amp; Loss'!G31</f>
        <v>14.516486681926171</v>
      </c>
      <c r="F22" s="49">
        <f>'Profit &amp; Loss'!H31</f>
        <v>13.826368755500493</v>
      </c>
      <c r="G22" s="49">
        <f>'Profit &amp; Loss'!I31</f>
        <v>17.203374926957636</v>
      </c>
    </row>
    <row r="23" spans="2:11">
      <c r="B23" s="43" t="s">
        <v>130</v>
      </c>
      <c r="C23" s="49">
        <f>'Profit &amp; Loss'!C32</f>
        <v>7.3946458300208562</v>
      </c>
      <c r="D23" s="49">
        <f>'Profit &amp; Loss'!D32</f>
        <v>6.6613663072102574</v>
      </c>
      <c r="E23" s="49">
        <f>'Profit &amp; Loss'!E32</f>
        <v>6.9805124579071629</v>
      </c>
      <c r="F23" s="49">
        <f>'Profit &amp; Loss'!F32</f>
        <v>3.8641821546660409</v>
      </c>
      <c r="G23" s="49">
        <f>'Profit &amp; Loss'!G32</f>
        <v>5.0291001990561837</v>
      </c>
    </row>
    <row r="24" spans="2:11">
      <c r="B24" s="43" t="s">
        <v>131</v>
      </c>
      <c r="C24" s="49">
        <f>'Profit &amp; Loss'!G33</f>
        <v>4.177629728170289</v>
      </c>
      <c r="D24" s="49">
        <f>'Profit &amp; Loss'!H33</f>
        <v>4.6360677966753006</v>
      </c>
      <c r="E24" s="49">
        <f>'Profit &amp; Loss'!I33</f>
        <v>6.4604510488428497</v>
      </c>
      <c r="F24" s="49">
        <f>'Profit &amp; Loss'!J33</f>
        <v>6.728202170265881</v>
      </c>
      <c r="G24" s="49">
        <f>'Profit &amp; Loss'!K33</f>
        <v>7.3220745594212779</v>
      </c>
    </row>
    <row r="25" spans="2:11">
      <c r="B25" s="43" t="s">
        <v>132</v>
      </c>
      <c r="C25" s="47">
        <f>'Balance Sheet'!G23</f>
        <v>0.21809063995198466</v>
      </c>
      <c r="D25" s="47">
        <f>'Balance Sheet'!H23</f>
        <v>0.24405605456807136</v>
      </c>
      <c r="E25" s="47">
        <f>'Balance Sheet'!I23</f>
        <v>0.2775155497933201</v>
      </c>
      <c r="F25" s="47">
        <f>'Balance Sheet'!J23</f>
        <v>0.27458869636409999</v>
      </c>
      <c r="G25" s="47">
        <f>'Balance Sheet'!K23</f>
        <v>0.49616743098141436</v>
      </c>
      <c r="H25" s="40"/>
    </row>
    <row r="26" spans="2:11">
      <c r="B26" s="43" t="s">
        <v>133</v>
      </c>
      <c r="C26" s="47">
        <f>'Balance Sheet'!G24</f>
        <v>0.28527066262298589</v>
      </c>
      <c r="D26" s="47">
        <f>'Balance Sheet'!H24</f>
        <v>0.33733252742915004</v>
      </c>
      <c r="E26" s="47">
        <f>'Balance Sheet'!I24</f>
        <v>0.39333609298769096</v>
      </c>
      <c r="F26" s="47">
        <f>'Balance Sheet'!J24</f>
        <v>0.3742927321936183</v>
      </c>
      <c r="G26" s="47">
        <f>'Balance Sheet'!K24</f>
        <v>0.57864605289976878</v>
      </c>
    </row>
    <row r="28" spans="2:11" ht="14.4" customHeight="1">
      <c r="B28" s="29" t="s">
        <v>145</v>
      </c>
      <c r="C28" s="66" t="s">
        <v>146</v>
      </c>
      <c r="D28" s="66"/>
      <c r="E28" s="41" t="s">
        <v>149</v>
      </c>
      <c r="F28" s="66" t="s">
        <v>150</v>
      </c>
      <c r="G28" s="67"/>
      <c r="I28" s="69" t="s">
        <v>155</v>
      </c>
      <c r="J28" s="69"/>
      <c r="K28" s="69"/>
    </row>
    <row r="29" spans="2:11" ht="6.6" customHeight="1"/>
    <row r="30" spans="2:11">
      <c r="B30" s="43" t="str" cm="1">
        <f t="array" ref="B30:B39">L38:L47</f>
        <v>Tobacco Manufacturers (India) Limited</v>
      </c>
      <c r="C30" s="68">
        <f>M38</f>
        <v>222.8495863</v>
      </c>
      <c r="D30" s="68"/>
      <c r="E30" s="50">
        <f t="shared" ref="E30:E39" si="0">(N38)/100</f>
        <v>0.1779</v>
      </c>
      <c r="F30" s="68">
        <f>O38</f>
        <v>78019.64016363</v>
      </c>
      <c r="G30" s="68"/>
    </row>
    <row r="31" spans="2:11">
      <c r="B31" s="43" t="str">
        <v>Life Insurance Corporation of India</v>
      </c>
      <c r="C31" s="68">
        <f t="shared" ref="C31:C39" si="1">M39</f>
        <v>198.58072329999999</v>
      </c>
      <c r="D31" s="68"/>
      <c r="E31" s="50">
        <f t="shared" si="0"/>
        <v>0.15859999999999999</v>
      </c>
      <c r="F31" s="68">
        <f t="shared" ref="F31:F39" si="2">O39</f>
        <v>69523.111227329995</v>
      </c>
      <c r="G31" s="68"/>
    </row>
    <row r="32" spans="2:11">
      <c r="B32" s="43" t="str">
        <v>Specified Undertaking of the Unit Trust of India</v>
      </c>
      <c r="C32" s="68">
        <f t="shared" si="1"/>
        <v>97.453142700000001</v>
      </c>
      <c r="D32" s="68"/>
      <c r="E32" s="50">
        <f t="shared" si="0"/>
        <v>7.7800000000000008E-2</v>
      </c>
      <c r="F32" s="68">
        <f t="shared" si="2"/>
        <v>34118.345259270005</v>
      </c>
      <c r="G32" s="68"/>
    </row>
    <row r="33" spans="2:16">
      <c r="B33" s="43" t="str">
        <v>Myddleton Investment Company Limited</v>
      </c>
      <c r="C33" s="68">
        <f t="shared" si="1"/>
        <v>48.631194000000001</v>
      </c>
      <c r="D33" s="68"/>
      <c r="E33" s="50">
        <f t="shared" si="0"/>
        <v>3.8800000000000001E-2</v>
      </c>
      <c r="F33" s="68">
        <f t="shared" si="2"/>
        <v>17025.781019400001</v>
      </c>
      <c r="G33" s="68"/>
    </row>
    <row r="34" spans="2:16">
      <c r="B34" s="43" t="str">
        <v>SBI Mutual Funds</v>
      </c>
      <c r="C34" s="68">
        <f t="shared" si="1"/>
        <v>40.798409499999998</v>
      </c>
      <c r="D34" s="68"/>
      <c r="E34" s="50">
        <f t="shared" si="0"/>
        <v>3.2599999999999997E-2</v>
      </c>
      <c r="F34" s="68">
        <f t="shared" si="2"/>
        <v>14283.52316595</v>
      </c>
      <c r="G34" s="68"/>
    </row>
    <row r="35" spans="2:16">
      <c r="B35" s="43" t="str">
        <v>QIB - Insurance Company Registered</v>
      </c>
      <c r="C35" s="68">
        <f t="shared" si="1"/>
        <v>33.990465800000003</v>
      </c>
      <c r="D35" s="68"/>
      <c r="E35" s="50">
        <f t="shared" si="0"/>
        <v>2.7099999999999999E-2</v>
      </c>
      <c r="F35" s="68">
        <f t="shared" si="2"/>
        <v>11900.062076580001</v>
      </c>
      <c r="G35" s="68"/>
      <c r="L35" s="59"/>
      <c r="M35" s="59"/>
      <c r="N35" s="59">
        <v>100</v>
      </c>
      <c r="O35" s="59"/>
      <c r="P35" s="59"/>
    </row>
    <row r="36" spans="2:16">
      <c r="B36" s="43" t="str">
        <v>ICICI Prudential Mutual Funds</v>
      </c>
      <c r="C36" s="68">
        <f t="shared" si="1"/>
        <v>28.535049300000001</v>
      </c>
      <c r="D36" s="68"/>
      <c r="E36" s="50">
        <f t="shared" si="0"/>
        <v>2.2799999999999997E-2</v>
      </c>
      <c r="F36" s="68">
        <f t="shared" si="2"/>
        <v>9990.1207599300014</v>
      </c>
      <c r="G36" s="68"/>
      <c r="L36" s="59"/>
      <c r="M36" s="59"/>
      <c r="N36" s="59">
        <v>10000000</v>
      </c>
      <c r="O36" s="59"/>
      <c r="P36" s="59"/>
    </row>
    <row r="37" spans="2:16">
      <c r="B37" s="43" t="str">
        <v>GQG Partners Emerging Markets Equity Fund</v>
      </c>
      <c r="C37" s="68">
        <f t="shared" si="1"/>
        <v>26.343439799999999</v>
      </c>
      <c r="D37" s="68"/>
      <c r="E37" s="50">
        <f t="shared" si="0"/>
        <v>2.1000000000000001E-2</v>
      </c>
      <c r="F37" s="68">
        <f>O45</f>
        <v>9222.8382739799999</v>
      </c>
      <c r="G37" s="68"/>
      <c r="L37" s="59" t="s">
        <v>134</v>
      </c>
      <c r="M37" s="59" t="s">
        <v>144</v>
      </c>
      <c r="N37" s="59" t="s">
        <v>147</v>
      </c>
      <c r="O37" s="59" t="s">
        <v>148</v>
      </c>
      <c r="P37" s="59"/>
    </row>
    <row r="38" spans="2:16">
      <c r="B38" s="43" t="str">
        <v>General Insurance Corporation of India</v>
      </c>
      <c r="C38" s="68">
        <f t="shared" si="1"/>
        <v>21.708550800000001</v>
      </c>
      <c r="D38" s="68"/>
      <c r="E38" s="50">
        <f t="shared" si="0"/>
        <v>1.7299999999999999E-2</v>
      </c>
      <c r="F38" s="68">
        <f t="shared" si="2"/>
        <v>7600.1636350800009</v>
      </c>
      <c r="G38" s="68"/>
      <c r="L38" s="59" t="s">
        <v>135</v>
      </c>
      <c r="M38" s="59">
        <f>(2228495863)/10000000</f>
        <v>222.8495863</v>
      </c>
      <c r="N38" s="59">
        <v>17.79</v>
      </c>
      <c r="O38" s="59">
        <f>350.1*M38</f>
        <v>78019.64016363</v>
      </c>
      <c r="P38" s="59"/>
    </row>
    <row r="39" spans="2:16">
      <c r="B39" s="43" t="str">
        <v>Goldman Sachs Trust II</v>
      </c>
      <c r="C39" s="68">
        <f t="shared" si="1"/>
        <v>20.709179500000001</v>
      </c>
      <c r="D39" s="68"/>
      <c r="E39" s="50">
        <f t="shared" si="0"/>
        <v>1.6500000000000001E-2</v>
      </c>
      <c r="F39" s="68">
        <f t="shared" si="2"/>
        <v>7250.2837429500005</v>
      </c>
      <c r="G39" s="68"/>
      <c r="L39" s="59" t="s">
        <v>136</v>
      </c>
      <c r="M39" s="59">
        <f>(1985807233)/10000000</f>
        <v>198.58072329999999</v>
      </c>
      <c r="N39" s="59">
        <v>15.86</v>
      </c>
      <c r="O39" s="59">
        <f t="shared" ref="O39:O47" si="3">350.1*M39</f>
        <v>69523.111227329995</v>
      </c>
      <c r="P39" s="59"/>
    </row>
    <row r="40" spans="2:16">
      <c r="L40" s="59" t="s">
        <v>137</v>
      </c>
      <c r="M40" s="59">
        <f>(974531427)/10000000</f>
        <v>97.453142700000001</v>
      </c>
      <c r="N40" s="59">
        <v>7.78</v>
      </c>
      <c r="O40" s="59">
        <f t="shared" si="3"/>
        <v>34118.345259270005</v>
      </c>
      <c r="P40" s="59"/>
    </row>
    <row r="41" spans="2:16" ht="14.4" customHeight="1">
      <c r="B41" s="29" t="s">
        <v>168</v>
      </c>
      <c r="C41" s="65" t="s">
        <v>169</v>
      </c>
      <c r="D41" s="65"/>
      <c r="E41" s="41" t="s">
        <v>171</v>
      </c>
      <c r="F41" s="66" t="s">
        <v>170</v>
      </c>
      <c r="G41" s="67"/>
      <c r="I41" s="69" t="s">
        <v>160</v>
      </c>
      <c r="J41" s="69"/>
      <c r="K41" s="69"/>
      <c r="L41" s="59" t="s">
        <v>138</v>
      </c>
      <c r="M41" s="59">
        <f>(486311940)/10000000</f>
        <v>48.631194000000001</v>
      </c>
      <c r="N41" s="59">
        <v>3.88</v>
      </c>
      <c r="O41" s="59">
        <f t="shared" si="3"/>
        <v>17025.781019400001</v>
      </c>
      <c r="P41" s="59"/>
    </row>
    <row r="42" spans="2:16">
      <c r="B42" s="43" t="s">
        <v>172</v>
      </c>
      <c r="C42" s="43" t="s">
        <v>173</v>
      </c>
      <c r="D42" s="43"/>
      <c r="E42" s="43">
        <v>25.66</v>
      </c>
      <c r="F42" s="78">
        <v>377</v>
      </c>
      <c r="G42" s="78"/>
      <c r="L42" s="59" t="s">
        <v>139</v>
      </c>
      <c r="M42" s="59">
        <v>40.798409499999998</v>
      </c>
      <c r="N42" s="59">
        <v>3.26</v>
      </c>
      <c r="O42" s="59">
        <f t="shared" si="3"/>
        <v>14283.52316595</v>
      </c>
      <c r="P42" s="59"/>
    </row>
    <row r="43" spans="2:16">
      <c r="B43" s="43" t="s">
        <v>174</v>
      </c>
      <c r="C43" s="43" t="s">
        <v>178</v>
      </c>
      <c r="D43" s="43"/>
      <c r="E43" s="43">
        <v>8.5299999999999994</v>
      </c>
      <c r="F43" s="78">
        <v>132</v>
      </c>
      <c r="G43" s="78"/>
      <c r="I43" s="43" t="s">
        <v>161</v>
      </c>
      <c r="J43" s="43"/>
      <c r="K43" s="43">
        <f>'Data Sheet'!B8</f>
        <v>363.95</v>
      </c>
      <c r="L43" s="59" t="s">
        <v>140</v>
      </c>
      <c r="M43" s="59">
        <f>(339904658)/10000000</f>
        <v>33.990465800000003</v>
      </c>
      <c r="N43" s="59">
        <v>2.71</v>
      </c>
      <c r="O43" s="59">
        <f t="shared" si="3"/>
        <v>11900.062076580001</v>
      </c>
      <c r="P43" s="59"/>
    </row>
    <row r="44" spans="2:16">
      <c r="B44" s="43" t="s">
        <v>175</v>
      </c>
      <c r="C44" s="43" t="s">
        <v>177</v>
      </c>
      <c r="D44" s="43"/>
      <c r="E44" s="43">
        <v>8.8699999999999992</v>
      </c>
      <c r="F44" s="78">
        <v>99</v>
      </c>
      <c r="G44" s="78"/>
      <c r="I44" s="70" t="s">
        <v>162</v>
      </c>
      <c r="J44" s="70"/>
      <c r="K44" s="51">
        <f>'Data Sheet'!B6</f>
        <v>1252.8960021981043</v>
      </c>
      <c r="L44" s="59" t="s">
        <v>141</v>
      </c>
      <c r="M44" s="59">
        <v>28.535049300000001</v>
      </c>
      <c r="N44" s="59">
        <v>2.2799999999999998</v>
      </c>
      <c r="O44" s="59">
        <f t="shared" si="3"/>
        <v>9990.1207599300014</v>
      </c>
      <c r="P44" s="59"/>
    </row>
    <row r="45" spans="2:16" ht="15" thickBot="1">
      <c r="B45" s="43" t="s">
        <v>176</v>
      </c>
      <c r="C45" s="43" t="s">
        <v>177</v>
      </c>
      <c r="D45" s="43"/>
      <c r="E45" s="43">
        <v>9.56</v>
      </c>
      <c r="F45" s="78">
        <v>174</v>
      </c>
      <c r="G45" s="78"/>
      <c r="I45" s="55" t="s">
        <v>163</v>
      </c>
      <c r="J45" s="56"/>
      <c r="K45" s="57">
        <f>K43*K44</f>
        <v>455991.50000000006</v>
      </c>
      <c r="L45" s="59" t="s">
        <v>142</v>
      </c>
      <c r="M45" s="59">
        <f>(263434398)/10000000</f>
        <v>26.343439799999999</v>
      </c>
      <c r="N45" s="59">
        <v>2.1</v>
      </c>
      <c r="O45" s="59">
        <f t="shared" si="3"/>
        <v>9222.8382739799999</v>
      </c>
      <c r="P45" s="59"/>
    </row>
    <row r="46" spans="2:16">
      <c r="I46" s="71" t="s">
        <v>164</v>
      </c>
      <c r="J46" s="71"/>
      <c r="K46" s="28">
        <f>'Data Sheet'!K69*-1</f>
        <v>-4012.36</v>
      </c>
      <c r="L46" s="59" t="s">
        <v>143</v>
      </c>
      <c r="M46" s="59">
        <f>(217085508)/10000000</f>
        <v>21.708550800000001</v>
      </c>
      <c r="N46" s="59">
        <v>1.73</v>
      </c>
      <c r="O46" s="59">
        <f t="shared" si="3"/>
        <v>7600.1636350800009</v>
      </c>
      <c r="P46" s="59"/>
    </row>
    <row r="47" spans="2:16">
      <c r="I47" s="72" t="s">
        <v>165</v>
      </c>
      <c r="J47" s="72"/>
      <c r="K47" s="52">
        <f>'Data Sheet'!K59</f>
        <v>284.54000000000002</v>
      </c>
      <c r="L47" s="59" t="s">
        <v>151</v>
      </c>
      <c r="M47" s="59">
        <f>(207091795)/10000000</f>
        <v>20.709179500000001</v>
      </c>
      <c r="N47" s="59">
        <v>1.65</v>
      </c>
      <c r="O47" s="59">
        <f t="shared" si="3"/>
        <v>7250.2837429500005</v>
      </c>
      <c r="P47" s="59"/>
    </row>
    <row r="48" spans="2:16">
      <c r="I48" s="53" t="s">
        <v>166</v>
      </c>
      <c r="J48" s="54"/>
      <c r="K48" s="54">
        <v>367.89</v>
      </c>
      <c r="L48" s="59"/>
      <c r="M48" s="59"/>
      <c r="N48" s="59"/>
      <c r="O48" s="59"/>
      <c r="P48" s="59"/>
    </row>
    <row r="49" spans="2:16" ht="15" thickBot="1">
      <c r="I49" s="55" t="s">
        <v>167</v>
      </c>
      <c r="J49" s="56"/>
      <c r="K49" s="57">
        <f>SUM(K45:K48)</f>
        <v>452631.57000000007</v>
      </c>
      <c r="L49" s="59" t="s">
        <v>152</v>
      </c>
      <c r="M49" s="60">
        <v>0.37390000000000001</v>
      </c>
      <c r="N49" s="59"/>
      <c r="O49" s="59"/>
      <c r="P49" s="59"/>
    </row>
    <row r="50" spans="2:16">
      <c r="L50" s="59" t="s">
        <v>153</v>
      </c>
      <c r="M50" s="60">
        <v>0.47410000000000002</v>
      </c>
      <c r="N50" s="59"/>
      <c r="O50" s="59"/>
      <c r="P50" s="59"/>
    </row>
    <row r="51" spans="2:16" ht="15.6">
      <c r="B51" s="29" t="s">
        <v>179</v>
      </c>
      <c r="C51" s="58"/>
      <c r="D51" s="58"/>
      <c r="E51" s="58"/>
      <c r="F51" s="58"/>
      <c r="G51" s="58"/>
      <c r="H51" s="58"/>
      <c r="I51" s="58"/>
      <c r="J51" s="58"/>
      <c r="K51" s="58"/>
      <c r="L51" s="59" t="s">
        <v>154</v>
      </c>
      <c r="M51" s="60">
        <f>15.16%+M52</f>
        <v>0.15200000000000002</v>
      </c>
      <c r="N51" s="59"/>
      <c r="O51" s="59"/>
      <c r="P51" s="59"/>
    </row>
    <row r="52" spans="2:16" ht="6.6" customHeight="1">
      <c r="L52" s="59" t="s">
        <v>156</v>
      </c>
      <c r="M52" s="61">
        <f>0.0004</f>
        <v>4.0000000000000002E-4</v>
      </c>
      <c r="N52" s="59"/>
      <c r="O52" s="59"/>
      <c r="P52" s="59"/>
    </row>
    <row r="53" spans="2:16">
      <c r="B53" s="64" t="s">
        <v>180</v>
      </c>
      <c r="C53" s="64"/>
      <c r="D53" s="64"/>
      <c r="E53" s="64"/>
      <c r="F53" s="64"/>
      <c r="G53" s="64"/>
      <c r="H53" s="64"/>
      <c r="I53" s="64"/>
      <c r="J53" s="64"/>
      <c r="K53" s="64"/>
    </row>
    <row r="54" spans="2:16">
      <c r="B54" s="64" t="s">
        <v>181</v>
      </c>
      <c r="C54" s="64"/>
      <c r="D54" s="64"/>
      <c r="E54" s="64"/>
      <c r="F54" s="64"/>
      <c r="G54" s="64"/>
      <c r="H54" s="64"/>
      <c r="I54" s="64"/>
      <c r="J54" s="64"/>
      <c r="K54" s="64"/>
    </row>
    <row r="55" spans="2:16">
      <c r="B55" s="64" t="s">
        <v>182</v>
      </c>
      <c r="C55" s="64"/>
      <c r="D55" s="64"/>
      <c r="E55" s="64"/>
      <c r="F55" s="64"/>
      <c r="G55" s="64"/>
      <c r="H55" s="64"/>
      <c r="I55" s="64"/>
      <c r="J55" s="64"/>
      <c r="K55" s="64"/>
    </row>
    <row r="56" spans="2:16">
      <c r="B56" s="64" t="s">
        <v>183</v>
      </c>
      <c r="C56" s="64"/>
      <c r="D56" s="64"/>
      <c r="E56" s="64"/>
      <c r="F56" s="64"/>
      <c r="G56" s="64"/>
      <c r="H56" s="64"/>
      <c r="I56" s="64"/>
      <c r="J56" s="64"/>
      <c r="K56" s="64"/>
    </row>
    <row r="57" spans="2:16">
      <c r="B57" s="64" t="s">
        <v>184</v>
      </c>
      <c r="C57" s="64"/>
      <c r="D57" s="64"/>
      <c r="E57" s="64"/>
      <c r="F57" s="64"/>
      <c r="G57" s="64"/>
      <c r="H57" s="64"/>
      <c r="I57" s="64"/>
      <c r="J57" s="64"/>
      <c r="K57" s="64"/>
    </row>
  </sheetData>
  <mergeCells count="42">
    <mergeCell ref="I41:K41"/>
    <mergeCell ref="I44:J44"/>
    <mergeCell ref="I46:J46"/>
    <mergeCell ref="I47:J47"/>
    <mergeCell ref="B2:K2"/>
    <mergeCell ref="C4:K4"/>
    <mergeCell ref="I6:K6"/>
    <mergeCell ref="I19:K19"/>
    <mergeCell ref="C28:D28"/>
    <mergeCell ref="F28:G28"/>
    <mergeCell ref="I28:K28"/>
    <mergeCell ref="C30:D30"/>
    <mergeCell ref="C31:D31"/>
    <mergeCell ref="C32:D32"/>
    <mergeCell ref="C34:D34"/>
    <mergeCell ref="C33:D33"/>
    <mergeCell ref="C35:D35"/>
    <mergeCell ref="C36:D36"/>
    <mergeCell ref="C37:D37"/>
    <mergeCell ref="C38:D38"/>
    <mergeCell ref="C39:D3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C41:D41"/>
    <mergeCell ref="F41:G41"/>
    <mergeCell ref="F42:G42"/>
    <mergeCell ref="F43:G43"/>
    <mergeCell ref="F44:G44"/>
    <mergeCell ref="B57:K57"/>
    <mergeCell ref="F45:G45"/>
    <mergeCell ref="B53:K53"/>
    <mergeCell ref="B54:K54"/>
    <mergeCell ref="B55:K55"/>
    <mergeCell ref="B56:K56"/>
  </mergeCells>
  <pageMargins left="0.7" right="0.7" top="0.75" bottom="0.75" header="0.3" footer="0.3"/>
  <pageSetup scale="65" orientation="portrait" r:id="rId1"/>
  <colBreaks count="1" manualBreakCount="1">
    <brk id="1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33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I36" sqref="I36"/>
    </sheetView>
  </sheetViews>
  <sheetFormatPr defaultColWidth="8.77734375" defaultRowHeight="14.4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>
      <c r="A1" s="2" t="str">
        <f>'Data Sheet'!B1</f>
        <v>ITC LTD</v>
      </c>
      <c r="H1" t="str">
        <f>UPDATE</f>
        <v/>
      </c>
      <c r="J1" s="3"/>
      <c r="K1" s="3"/>
      <c r="M1" s="2" t="s">
        <v>1</v>
      </c>
    </row>
    <row r="3" spans="1:14" s="2" customFormat="1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>
      <c r="A4" s="2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>
        <f>SUM(Quarters!H4:K4)</f>
        <v>78551.59</v>
      </c>
      <c r="M4" s="1">
        <f>$K4+M23*K4</f>
        <v>83518.968378580088</v>
      </c>
      <c r="N4" s="1">
        <f>$K4+N23*L4</f>
        <v>81209.036438509327</v>
      </c>
    </row>
    <row r="5" spans="1:14">
      <c r="A5" t="s">
        <v>7</v>
      </c>
      <c r="B5" s="6">
        <f>SUM('Data Sheet'!B18,'Data Sheet'!B20:B24, -1*'Data Sheet'!B19)</f>
        <v>24660.609999999997</v>
      </c>
      <c r="C5" s="6">
        <f>SUM('Data Sheet'!C18,'Data Sheet'!C20:C24, -1*'Data Sheet'!C19)</f>
        <v>27298.09</v>
      </c>
      <c r="D5" s="6">
        <f>SUM('Data Sheet'!D18,'Data Sheet'!D20:D24, -1*'Data Sheet'!D19)</f>
        <v>26928.35</v>
      </c>
      <c r="E5" s="6">
        <f>SUM('Data Sheet'!E18,'Data Sheet'!E20:E24, -1*'Data Sheet'!E19)</f>
        <v>29802.19</v>
      </c>
      <c r="F5" s="6">
        <f>SUM('Data Sheet'!F18,'Data Sheet'!F20:F24, -1*'Data Sheet'!F19)</f>
        <v>30044.16</v>
      </c>
      <c r="G5" s="6">
        <f>SUM('Data Sheet'!G18,'Data Sheet'!G20:G24, -1*'Data Sheet'!G19)</f>
        <v>32192.670000000002</v>
      </c>
      <c r="H5" s="6">
        <f>SUM('Data Sheet'!H18,'Data Sheet'!H20:H24, -1*'Data Sheet'!H19)</f>
        <v>40021.39</v>
      </c>
      <c r="I5" s="6">
        <f>SUM('Data Sheet'!I18,'Data Sheet'!I20:I24, -1*'Data Sheet'!I19)</f>
        <v>45214.770000000004</v>
      </c>
      <c r="J5" s="6">
        <f>SUM('Data Sheet'!J18,'Data Sheet'!J20:J24, -1*'Data Sheet'!J19)</f>
        <v>42744.41</v>
      </c>
      <c r="K5" s="6">
        <f>SUM('Data Sheet'!K18,'Data Sheet'!K20:K24, -1*'Data Sheet'!K19)</f>
        <v>49483.89</v>
      </c>
      <c r="L5" s="6">
        <f>SUM(Quarters!H5:K5)</f>
        <v>52159.14</v>
      </c>
      <c r="M5" s="6">
        <f t="shared" ref="M5:N5" si="0">M4-M6</f>
        <v>53597.013652967857</v>
      </c>
      <c r="N5" s="6">
        <f t="shared" si="0"/>
        <v>53923.714349528876</v>
      </c>
    </row>
    <row r="6" spans="1:14" s="2" customFormat="1">
      <c r="A6" s="2" t="s">
        <v>8</v>
      </c>
      <c r="B6" s="1">
        <f>B4-B5</f>
        <v>14531.490000000002</v>
      </c>
      <c r="C6" s="1">
        <f t="shared" ref="C6:K6" si="1">C4-C5</f>
        <v>15469.509999999998</v>
      </c>
      <c r="D6" s="1">
        <f t="shared" si="1"/>
        <v>16520.590000000004</v>
      </c>
      <c r="E6" s="1">
        <f t="shared" si="1"/>
        <v>18537.390000000003</v>
      </c>
      <c r="F6" s="1">
        <f t="shared" si="1"/>
        <v>19343.539999999997</v>
      </c>
      <c r="G6" s="1">
        <f t="shared" si="1"/>
        <v>17064.779999999995</v>
      </c>
      <c r="H6" s="1">
        <f t="shared" si="1"/>
        <v>20623.150000000001</v>
      </c>
      <c r="I6" s="1">
        <f t="shared" si="1"/>
        <v>25704.259999999995</v>
      </c>
      <c r="J6" s="1">
        <f t="shared" si="1"/>
        <v>25187.53</v>
      </c>
      <c r="K6" s="1">
        <f t="shared" si="1"/>
        <v>25839.449999999997</v>
      </c>
      <c r="L6" s="1">
        <f>SUM(Quarters!H6:K6)</f>
        <v>26392.45</v>
      </c>
      <c r="M6" s="1">
        <f>M4*M24</f>
        <v>29921.954725612231</v>
      </c>
      <c r="N6" s="1">
        <f>N4*N24</f>
        <v>27285.322088980451</v>
      </c>
    </row>
    <row r="7" spans="1:14">
      <c r="A7" t="s">
        <v>9</v>
      </c>
      <c r="B7" s="6">
        <f>'Data Sheet'!B25</f>
        <v>1483.11</v>
      </c>
      <c r="C7" s="6">
        <f>'Data Sheet'!C25</f>
        <v>1758.63</v>
      </c>
      <c r="D7" s="6">
        <f>'Data Sheet'!D25</f>
        <v>2239.81</v>
      </c>
      <c r="E7" s="6">
        <f>'Data Sheet'!E25</f>
        <v>2080.44</v>
      </c>
      <c r="F7" s="6">
        <f>'Data Sheet'!F25</f>
        <v>2417.3200000000002</v>
      </c>
      <c r="G7" s="6">
        <f>'Data Sheet'!G25</f>
        <v>2576.9499999999998</v>
      </c>
      <c r="H7" s="6">
        <f>'Data Sheet'!H25</f>
        <v>1909.72</v>
      </c>
      <c r="I7" s="6">
        <f>'Data Sheet'!I25</f>
        <v>2097.64</v>
      </c>
      <c r="J7" s="6">
        <f>'Data Sheet'!J25</f>
        <v>3330.45</v>
      </c>
      <c r="K7" s="6">
        <f>'Data Sheet'!K25</f>
        <v>17794.88</v>
      </c>
      <c r="L7" s="6">
        <f>SUM(Quarters!H7:K7)</f>
        <v>17684.490000000002</v>
      </c>
      <c r="M7" s="6">
        <v>0</v>
      </c>
      <c r="N7" s="6">
        <v>0</v>
      </c>
    </row>
    <row r="8" spans="1:14">
      <c r="A8" t="s">
        <v>10</v>
      </c>
      <c r="B8" s="6">
        <f>'Data Sheet'!B26</f>
        <v>1077.4000000000001</v>
      </c>
      <c r="C8" s="6">
        <f>'Data Sheet'!C26</f>
        <v>1152.79</v>
      </c>
      <c r="D8" s="6">
        <f>'Data Sheet'!D26</f>
        <v>1236.28</v>
      </c>
      <c r="E8" s="6">
        <f>'Data Sheet'!E26</f>
        <v>1396.61</v>
      </c>
      <c r="F8" s="6">
        <f>'Data Sheet'!F26</f>
        <v>1644.91</v>
      </c>
      <c r="G8" s="6">
        <f>'Data Sheet'!G26</f>
        <v>1645.59</v>
      </c>
      <c r="H8" s="6">
        <f>'Data Sheet'!H26</f>
        <v>1732.41</v>
      </c>
      <c r="I8" s="6">
        <f>'Data Sheet'!I26</f>
        <v>1809.01</v>
      </c>
      <c r="J8" s="6">
        <f>'Data Sheet'!J26</f>
        <v>1518.05</v>
      </c>
      <c r="K8" s="6">
        <f>'Data Sheet'!K26</f>
        <v>1646.32</v>
      </c>
      <c r="L8" s="6">
        <f>SUM(Quarters!H8:K8)</f>
        <v>1684.77</v>
      </c>
      <c r="M8" s="6">
        <f>+$L8</f>
        <v>1684.77</v>
      </c>
      <c r="N8" s="6">
        <f>+$L8</f>
        <v>1684.77</v>
      </c>
    </row>
    <row r="9" spans="1:14">
      <c r="A9" t="s">
        <v>11</v>
      </c>
      <c r="B9" s="6">
        <f>'Data Sheet'!B27</f>
        <v>78.13</v>
      </c>
      <c r="C9" s="6">
        <f>'Data Sheet'!C27</f>
        <v>49.03</v>
      </c>
      <c r="D9" s="6">
        <f>'Data Sheet'!D27</f>
        <v>115.01</v>
      </c>
      <c r="E9" s="6">
        <f>'Data Sheet'!E27</f>
        <v>71.400000000000006</v>
      </c>
      <c r="F9" s="6">
        <f>'Data Sheet'!F27</f>
        <v>81.38</v>
      </c>
      <c r="G9" s="6">
        <f>'Data Sheet'!G27</f>
        <v>57.97</v>
      </c>
      <c r="H9" s="6">
        <f>'Data Sheet'!H27</f>
        <v>59.99</v>
      </c>
      <c r="I9" s="6">
        <f>'Data Sheet'!I27</f>
        <v>77.77</v>
      </c>
      <c r="J9" s="6">
        <f>'Data Sheet'!J27</f>
        <v>39.11</v>
      </c>
      <c r="K9" s="6">
        <f>'Data Sheet'!K27</f>
        <v>45.06</v>
      </c>
      <c r="L9" s="6">
        <f>SUM(Quarters!H9:K9)</f>
        <v>57.25</v>
      </c>
      <c r="M9" s="6">
        <f>+$L9</f>
        <v>57.25</v>
      </c>
      <c r="N9" s="6">
        <f>+$L9</f>
        <v>57.25</v>
      </c>
    </row>
    <row r="10" spans="1:14">
      <c r="A10" t="s">
        <v>12</v>
      </c>
      <c r="B10" s="6">
        <f>'Data Sheet'!B28</f>
        <v>14859.07</v>
      </c>
      <c r="C10" s="6">
        <f>'Data Sheet'!C28</f>
        <v>16026.32</v>
      </c>
      <c r="D10" s="6">
        <f>'Data Sheet'!D28</f>
        <v>17409.11</v>
      </c>
      <c r="E10" s="6">
        <f>'Data Sheet'!E28</f>
        <v>19149.82</v>
      </c>
      <c r="F10" s="6">
        <f>'Data Sheet'!F28</f>
        <v>20034.57</v>
      </c>
      <c r="G10" s="6">
        <f>'Data Sheet'!G28</f>
        <v>17938.169999999998</v>
      </c>
      <c r="H10" s="6">
        <f>'Data Sheet'!H28</f>
        <v>20740.47</v>
      </c>
      <c r="I10" s="6">
        <f>'Data Sheet'!I28</f>
        <v>25915.119999999999</v>
      </c>
      <c r="J10" s="6">
        <f>'Data Sheet'!J28</f>
        <v>26960.82</v>
      </c>
      <c r="K10" s="6">
        <f>'Data Sheet'!K28</f>
        <v>41942.949999999997</v>
      </c>
      <c r="L10" s="6">
        <f>SUM(Quarters!H10:K10)</f>
        <v>42334.92</v>
      </c>
      <c r="M10" s="6">
        <f>M6+M7-SUM(M8:M9)</f>
        <v>28179.934725612231</v>
      </c>
      <c r="N10" s="6">
        <f>N6+N7-SUM(N8:N9)</f>
        <v>25543.30208898045</v>
      </c>
    </row>
    <row r="11" spans="1:14">
      <c r="A11" t="s">
        <v>13</v>
      </c>
      <c r="B11" s="6">
        <f>'Data Sheet'!B29</f>
        <v>5358.21</v>
      </c>
      <c r="C11" s="6">
        <f>'Data Sheet'!C29</f>
        <v>5549.09</v>
      </c>
      <c r="D11" s="6">
        <f>'Data Sheet'!D29</f>
        <v>5916.43</v>
      </c>
      <c r="E11" s="6">
        <f>'Data Sheet'!E29</f>
        <v>6313.92</v>
      </c>
      <c r="F11" s="6">
        <f>'Data Sheet'!F29</f>
        <v>4441.79</v>
      </c>
      <c r="G11" s="6">
        <f>'Data Sheet'!G29</f>
        <v>4555.29</v>
      </c>
      <c r="H11" s="6">
        <f>'Data Sheet'!H29</f>
        <v>5237.34</v>
      </c>
      <c r="I11" s="6">
        <f>'Data Sheet'!I29</f>
        <v>6438.4</v>
      </c>
      <c r="J11" s="6">
        <f>'Data Sheet'!J29</f>
        <v>6209.46</v>
      </c>
      <c r="K11" s="6">
        <f>'Data Sheet'!K29</f>
        <v>6890.47</v>
      </c>
      <c r="L11" s="6">
        <f>SUM(Quarters!H11:K11)</f>
        <v>6983.9000000000005</v>
      </c>
      <c r="M11" s="7">
        <f>IF($L10&gt;0,$L11/$L10,0)</f>
        <v>0.16496783270170348</v>
      </c>
      <c r="N11" s="7">
        <f>IF($L10&gt;0,$L11/$L10,0)</f>
        <v>0.16496783270170348</v>
      </c>
    </row>
    <row r="12" spans="1:14" s="2" customFormat="1">
      <c r="A12" s="2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>
        <f>SUM(Quarters!H12:K12)</f>
        <v>35032.479999999996</v>
      </c>
      <c r="M12" s="1">
        <f>M10-M11*M10</f>
        <v>23531.151968252507</v>
      </c>
      <c r="N12" s="1">
        <f>N10-N11*N10</f>
        <v>21329.478903316449</v>
      </c>
    </row>
    <row r="13" spans="1:14">
      <c r="A13" t="s">
        <v>57</v>
      </c>
      <c r="B13" s="6">
        <f>IF('Data Sheet'!B93&gt;0,B12/'Data Sheet'!B93,0)</f>
        <v>7.7413675978394147</v>
      </c>
      <c r="C13" s="6">
        <f>IF('Data Sheet'!C93&gt;0,C12/'Data Sheet'!C93,0)</f>
        <v>8.4704875117309051</v>
      </c>
      <c r="D13" s="6">
        <f>IF('Data Sheet'!D93&gt;0,D12/'Data Sheet'!D93,0)</f>
        <v>9.2354334128135172</v>
      </c>
      <c r="E13" s="6">
        <f>IF('Data Sheet'!E93&gt;0,E12/'Data Sheet'!E93,0)</f>
        <v>10.272241528396393</v>
      </c>
      <c r="F13" s="6">
        <f>IF('Data Sheet'!F93&gt;0,F12/'Data Sheet'!F93,0)</f>
        <v>12.451985812141032</v>
      </c>
      <c r="G13" s="6">
        <f>IF('Data Sheet'!G93&gt;0,G12/'Data Sheet'!G93,0)</f>
        <v>10.692504549590536</v>
      </c>
      <c r="H13" s="6">
        <f>IF('Data Sheet'!H93&gt;0,H12/'Data Sheet'!H93,0)</f>
        <v>12.368975842509718</v>
      </c>
      <c r="I13" s="6">
        <f>IF('Data Sheet'!I93&gt;0,I12/'Data Sheet'!I93,0)</f>
        <v>15.442275506919859</v>
      </c>
      <c r="J13" s="6">
        <f>IF('Data Sheet'!J93&gt;0,J12/'Data Sheet'!J93,0)</f>
        <v>16.387081788108645</v>
      </c>
      <c r="K13" s="6">
        <f>IF('Data Sheet'!K93&gt;0,K12/'Data Sheet'!K93,0)</f>
        <v>27.765983970081745</v>
      </c>
      <c r="L13" s="6">
        <f>IF('Data Sheet'!$B6&gt;0,'Profit &amp; Loss'!L12/'Data Sheet'!$B6,0)</f>
        <v>27.961203434713141</v>
      </c>
      <c r="M13" s="6">
        <f>IF('Data Sheet'!$B6&gt;0,'Profit &amp; Loss'!M12/'Data Sheet'!$B6,0)</f>
        <v>18.781408773728234</v>
      </c>
      <c r="N13" s="6">
        <f>IF('Data Sheet'!$B6&gt;0,'Profit &amp; Loss'!N12/'Data Sheet'!$B6,0)</f>
        <v>17.024141561546696</v>
      </c>
    </row>
    <row r="14" spans="1:14">
      <c r="A14" t="s">
        <v>16</v>
      </c>
      <c r="B14" s="6">
        <f>IF(B15&gt;0,B15/B13,"")</f>
        <v>26.49790200600356</v>
      </c>
      <c r="C14" s="6">
        <f t="shared" ref="C14:K14" si="2">IF(C15&gt;0,C15/C13,"")</f>
        <v>31.019466073955435</v>
      </c>
      <c r="D14" s="6">
        <f t="shared" si="2"/>
        <v>25.932729877918941</v>
      </c>
      <c r="E14" s="6">
        <f t="shared" si="2"/>
        <v>27.125530414148926</v>
      </c>
      <c r="F14" s="6">
        <f t="shared" si="2"/>
        <v>12.925649163771876</v>
      </c>
      <c r="G14" s="6">
        <f t="shared" si="2"/>
        <v>19.155474664525016</v>
      </c>
      <c r="H14" s="6">
        <f t="shared" si="2"/>
        <v>18.995913889045614</v>
      </c>
      <c r="I14" s="6">
        <f t="shared" si="2"/>
        <v>23.279600201337455</v>
      </c>
      <c r="J14" s="6">
        <f t="shared" si="2"/>
        <v>24.502837368601647</v>
      </c>
      <c r="K14" s="6">
        <f t="shared" si="2"/>
        <v>14.757265596692401</v>
      </c>
      <c r="L14" s="6">
        <f t="shared" ref="L14" si="3">IF(L13&gt;0,L15/L13,0)</f>
        <v>13.016249491900091</v>
      </c>
      <c r="M14" s="6">
        <f>M25</f>
        <v>18.888988164632899</v>
      </c>
      <c r="N14" s="6">
        <f>N25</f>
        <v>13.016249491900091</v>
      </c>
    </row>
    <row r="15" spans="1:14" s="2" customFormat="1">
      <c r="A15" s="2" t="s">
        <v>58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363.95</v>
      </c>
      <c r="M15" s="8">
        <f>M13*M14</f>
        <v>354.76180804208508</v>
      </c>
      <c r="N15" s="9">
        <f>N13*N14</f>
        <v>221.59047395051738</v>
      </c>
    </row>
    <row r="17" spans="1:14" s="2" customFormat="1">
      <c r="A17" s="2" t="s">
        <v>15</v>
      </c>
    </row>
    <row r="18" spans="1:14">
      <c r="A18" t="s">
        <v>17</v>
      </c>
      <c r="B18" s="5">
        <f>IF('Data Sheet'!B30&gt;0, 'Data Sheet'!B31/'Data Sheet'!B30, 0)</f>
        <v>0.73199813793214152</v>
      </c>
      <c r="C18" s="5">
        <f>IF('Data Sheet'!C30&gt;0, 'Data Sheet'!C31/'Data Sheet'!C30, 0)</f>
        <v>0.56077104293333746</v>
      </c>
      <c r="D18" s="5">
        <f>IF('Data Sheet'!D30&gt;0, 'Data Sheet'!D31/'Data Sheet'!D30, 0)</f>
        <v>0.55763450209383203</v>
      </c>
      <c r="E18" s="5">
        <f>IF('Data Sheet'!E30&gt;0, 'Data Sheet'!E31/'Data Sheet'!E30, 0)</f>
        <v>0.55976137855345276</v>
      </c>
      <c r="F18" s="5">
        <f>IF('Data Sheet'!F30&gt;0, 'Data Sheet'!F31/'Data Sheet'!F30, 0)</f>
        <v>0.8151308323473514</v>
      </c>
      <c r="G18" s="5">
        <f>IF('Data Sheet'!G30&gt;0, 'Data Sheet'!G31/'Data Sheet'!G30, 0)</f>
        <v>1.0053771733407084</v>
      </c>
      <c r="H18" s="5">
        <f>IF('Data Sheet'!H30&gt;0, 'Data Sheet'!H31/'Data Sheet'!H30, 0)</f>
        <v>0.92974585800641096</v>
      </c>
      <c r="I18" s="5">
        <f>IF('Data Sheet'!I30&gt;0, 'Data Sheet'!I31/'Data Sheet'!I30, 0)</f>
        <v>1.0037380820627295</v>
      </c>
      <c r="J18" s="5">
        <f>IF('Data Sheet'!J30&gt;0, 'Data Sheet'!J31/'Data Sheet'!J30, 0)</f>
        <v>0.83907544829163816</v>
      </c>
      <c r="K18" s="5">
        <f>IF('Data Sheet'!K30&gt;0, 'Data Sheet'!K31/'Data Sheet'!K30, 0)</f>
        <v>0.51681932895362803</v>
      </c>
    </row>
    <row r="19" spans="1:14">
      <c r="A19" t="s">
        <v>18</v>
      </c>
      <c r="B19" s="5">
        <f t="shared" ref="B19:L19" si="4">IF(B6&gt;0,B6/B4,0)</f>
        <v>0.37077599822413199</v>
      </c>
      <c r="C19" s="5">
        <f t="shared" ref="C19:K19" si="5">IF(C6&gt;0,C6/C4,0)</f>
        <v>0.36171096811605047</v>
      </c>
      <c r="D19" s="5">
        <f t="shared" si="5"/>
        <v>0.38022998950031928</v>
      </c>
      <c r="E19" s="5">
        <f t="shared" si="5"/>
        <v>0.38348264507056129</v>
      </c>
      <c r="F19" s="5">
        <f t="shared" si="5"/>
        <v>0.39166715599228147</v>
      </c>
      <c r="G19" s="5">
        <f t="shared" si="5"/>
        <v>0.34644058919006154</v>
      </c>
      <c r="H19" s="5">
        <f t="shared" si="5"/>
        <v>0.3400660636555245</v>
      </c>
      <c r="I19" s="5">
        <f t="shared" si="5"/>
        <v>0.36244517162741785</v>
      </c>
      <c r="J19" s="5">
        <f t="shared" si="5"/>
        <v>0.37077595605248426</v>
      </c>
      <c r="K19" s="5">
        <f t="shared" si="5"/>
        <v>0.34304705553418102</v>
      </c>
      <c r="L19" s="5">
        <f t="shared" si="4"/>
        <v>0.33598874319412253</v>
      </c>
    </row>
    <row r="20" spans="1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>
      <c r="A23"/>
      <c r="B23"/>
      <c r="C23"/>
      <c r="D23"/>
      <c r="E23"/>
      <c r="F23"/>
      <c r="G23" t="s">
        <v>22</v>
      </c>
      <c r="H23" s="5">
        <f>IF(B4=0,"",POWER($K4/B4,1/9)-1)</f>
        <v>7.5290157386170398E-2</v>
      </c>
      <c r="I23" s="5">
        <f>IF(D4=0,"",POWER($K4/D4,1/7)-1)</f>
        <v>8.1772081914101014E-2</v>
      </c>
      <c r="J23" s="5">
        <f>IF(F4=0,"",POWER($K4/F4,1/5)-1)</f>
        <v>8.8083322106701667E-2</v>
      </c>
      <c r="K23" s="5">
        <f>IF(H4=0,"",POWER($K4/H4, 1/3)-1)</f>
        <v>7.4927782346726923E-2</v>
      </c>
      <c r="L23" s="5">
        <f>IF(ISERROR(MAX(IF(J4=0,"",(K4-J4)/J4),IF(K4=0,"",(L4-K4)/K4))),"",MAX(IF(J4=0,"",(K4-J4)/J4),IF(K4=0,"",(L4-K4)/K4)))</f>
        <v>0.10880596078957842</v>
      </c>
      <c r="M23" s="16">
        <f>MAX(K23:L23)</f>
        <v>0.10880596078957842</v>
      </c>
      <c r="N23" s="16">
        <f>MIN(H23:L23)</f>
        <v>7.4927782346726923E-2</v>
      </c>
    </row>
    <row r="24" spans="1:14">
      <c r="G24" t="s">
        <v>18</v>
      </c>
      <c r="H24" s="5">
        <f>IF(SUM(B4:$K$4)=0,"",SUMPRODUCT(B19:$K$19,B4:$K$4)/SUM(B4:$K$4))</f>
        <v>0.36333561776087531</v>
      </c>
      <c r="I24" s="5">
        <f>IF(SUM(E4:$K$4)=0,"",SUMPRODUCT(E19:$K$19,E4:$K$4)/SUM(E4:$K$4))</f>
        <v>0.361068770445239</v>
      </c>
      <c r="J24" s="5">
        <f>IF(SUM(G4:$K$4)=0,"",SUMPRODUCT(G19:$K$19,G4:$K$4)/SUM(G4:$K$4))</f>
        <v>0.35306244239396706</v>
      </c>
      <c r="K24" s="5">
        <f>IF(SUM(I4:$K$4)=0, "", SUMPRODUCT(I19:$K$19,I4:$K$4)/SUM(I4:$K$4))</f>
        <v>0.35826537739283482</v>
      </c>
      <c r="L24" s="5">
        <f>L19</f>
        <v>0.33598874319412253</v>
      </c>
      <c r="M24" s="16">
        <f>MAX(K24:L24)</f>
        <v>0.35826537739283482</v>
      </c>
      <c r="N24" s="16">
        <f>MIN(H24:L24)</f>
        <v>0.33598874319412253</v>
      </c>
    </row>
    <row r="25" spans="1:14">
      <c r="G25" t="s">
        <v>23</v>
      </c>
      <c r="H25" s="6">
        <f>IF(ISERROR(AVERAGEIF(B14:$L14,"&gt;0")),"",AVERAGEIF(B14:$L14,"&gt;0"))</f>
        <v>21.564419886172814</v>
      </c>
      <c r="I25" s="6">
        <f>IF(ISERROR(AVERAGEIF(E14:$L14,"&gt;0")),"",AVERAGEIF(E14:$L14,"&gt;0"))</f>
        <v>19.219815098752878</v>
      </c>
      <c r="J25" s="6">
        <f>IF(ISERROR(AVERAGEIF(G14:$L14,"&gt;0")),"",AVERAGEIF(G14:$L14,"&gt;0"))</f>
        <v>18.951223535350369</v>
      </c>
      <c r="K25" s="6">
        <f>IF(ISERROR(AVERAGEIF(I14:$L14,"&gt;0")),"",AVERAGEIF(I14:$L14,"&gt;0"))</f>
        <v>18.888988164632899</v>
      </c>
      <c r="L25" s="6">
        <f>L14</f>
        <v>13.016249491900091</v>
      </c>
      <c r="M25" s="1">
        <f>MAX(K25:L25)</f>
        <v>18.888988164632899</v>
      </c>
      <c r="N25" s="1">
        <f>MIN(H25:L25)</f>
        <v>13.016249491900091</v>
      </c>
    </row>
    <row r="27" spans="1:14">
      <c r="A27" t="s">
        <v>79</v>
      </c>
      <c r="B27" s="39">
        <f>'Data Sheet'!B90*'Data Sheet'!B93</f>
        <v>247608.32039999997</v>
      </c>
      <c r="C27" s="39">
        <f>'Data Sheet'!C90*'Data Sheet'!C93</f>
        <v>319172.935</v>
      </c>
      <c r="D27" s="39">
        <f>'Data Sheet'!D90*'Data Sheet'!D93</f>
        <v>292292.98500000004</v>
      </c>
      <c r="E27" s="39">
        <f>'Data Sheet'!E90*'Data Sheet'!E93</f>
        <v>341573.63039999997</v>
      </c>
      <c r="F27" s="39">
        <f>'Data Sheet'!F90*'Data Sheet'!F93</f>
        <v>197842.959</v>
      </c>
      <c r="G27" s="39">
        <f>'Data Sheet'!G90*'Data Sheet'!G93</f>
        <v>252108.84160000001</v>
      </c>
      <c r="H27" s="39">
        <f>'Data Sheet'!H90*'Data Sheet'!H93</f>
        <v>289548.25679999997</v>
      </c>
      <c r="I27" s="39">
        <f>'Data Sheet'!I90*'Data Sheet'!I93</f>
        <v>446774.17200000002</v>
      </c>
      <c r="J27" s="39">
        <f>'Data Sheet'!J90*'Data Sheet'!J93</f>
        <v>501298.15909999999</v>
      </c>
      <c r="K27" s="39">
        <f>'Data Sheet'!K90*'Data Sheet'!K93</f>
        <v>512765.24750000006</v>
      </c>
    </row>
    <row r="28" spans="1:14">
      <c r="A28" t="s">
        <v>119</v>
      </c>
      <c r="B28">
        <f>'Balance Sheet'!B6</f>
        <v>83.78</v>
      </c>
      <c r="C28">
        <f>'Balance Sheet'!C6</f>
        <v>45.72</v>
      </c>
      <c r="D28">
        <f>'Balance Sheet'!D6</f>
        <v>35.92</v>
      </c>
      <c r="E28">
        <f>'Balance Sheet'!E6</f>
        <v>13.44</v>
      </c>
      <c r="F28">
        <f>'Balance Sheet'!F6</f>
        <v>277.45</v>
      </c>
      <c r="G28">
        <f>'Balance Sheet'!G6</f>
        <v>270.83</v>
      </c>
      <c r="H28">
        <f>'Balance Sheet'!H6</f>
        <v>249.44</v>
      </c>
      <c r="I28">
        <f>'Balance Sheet'!I6</f>
        <v>306.04000000000002</v>
      </c>
      <c r="J28">
        <f>'Balance Sheet'!J6</f>
        <v>303.43</v>
      </c>
      <c r="K28">
        <f>'Balance Sheet'!K6</f>
        <v>284.54000000000002</v>
      </c>
    </row>
    <row r="29" spans="1:14">
      <c r="A29" t="s">
        <v>120</v>
      </c>
      <c r="B29">
        <f>'Data Sheet'!B69</f>
        <v>6063.3</v>
      </c>
      <c r="C29">
        <f>'Data Sheet'!C69</f>
        <v>2967.4</v>
      </c>
      <c r="D29">
        <f>'Data Sheet'!D69</f>
        <v>2899.6</v>
      </c>
      <c r="E29">
        <f>'Data Sheet'!E69</f>
        <v>4152.03</v>
      </c>
      <c r="F29">
        <f>'Data Sheet'!F69</f>
        <v>7277.34</v>
      </c>
      <c r="G29">
        <f>'Data Sheet'!G69</f>
        <v>4659.0200000000004</v>
      </c>
      <c r="H29">
        <f>'Data Sheet'!H69</f>
        <v>4654.42</v>
      </c>
      <c r="I29">
        <f>'Data Sheet'!I69</f>
        <v>4880.1899999999996</v>
      </c>
      <c r="J29">
        <f>'Data Sheet'!J69</f>
        <v>7217.68</v>
      </c>
      <c r="K29">
        <f>'Data Sheet'!K69</f>
        <v>4012.36</v>
      </c>
    </row>
    <row r="30" spans="1:14">
      <c r="A30" t="s">
        <v>121</v>
      </c>
      <c r="B30" s="39">
        <f>B27+B28-B29</f>
        <v>241628.80039999998</v>
      </c>
      <c r="C30" s="39">
        <f t="shared" ref="C30:K30" si="6">C27+C28-C29</f>
        <v>316251.25499999995</v>
      </c>
      <c r="D30" s="39">
        <f t="shared" si="6"/>
        <v>289429.30500000005</v>
      </c>
      <c r="E30" s="39">
        <f t="shared" si="6"/>
        <v>337435.04039999994</v>
      </c>
      <c r="F30" s="39">
        <f t="shared" si="6"/>
        <v>190843.06900000002</v>
      </c>
      <c r="G30" s="39">
        <f t="shared" si="6"/>
        <v>247720.65160000001</v>
      </c>
      <c r="H30" s="39">
        <f t="shared" si="6"/>
        <v>285143.27679999999</v>
      </c>
      <c r="I30" s="39">
        <f t="shared" si="6"/>
        <v>442200.022</v>
      </c>
      <c r="J30" s="39">
        <f t="shared" si="6"/>
        <v>494383.90909999999</v>
      </c>
      <c r="K30" s="39">
        <f t="shared" si="6"/>
        <v>509037.42750000005</v>
      </c>
    </row>
    <row r="31" spans="1:14">
      <c r="A31" t="s">
        <v>122</v>
      </c>
      <c r="B31" s="35">
        <f>B30/B6</f>
        <v>16.627943892883657</v>
      </c>
      <c r="C31" s="35">
        <f t="shared" ref="C31:K31" si="7">C30/C6</f>
        <v>20.443521158718021</v>
      </c>
      <c r="D31" s="35">
        <f t="shared" si="7"/>
        <v>17.519308027134624</v>
      </c>
      <c r="E31" s="35">
        <f t="shared" si="7"/>
        <v>18.202942291228695</v>
      </c>
      <c r="F31" s="35">
        <f t="shared" si="7"/>
        <v>9.8659846646477352</v>
      </c>
      <c r="G31" s="35">
        <f t="shared" si="7"/>
        <v>14.516486681926171</v>
      </c>
      <c r="H31" s="35">
        <f t="shared" si="7"/>
        <v>13.826368755500493</v>
      </c>
      <c r="I31" s="35">
        <f t="shared" si="7"/>
        <v>17.203374926957636</v>
      </c>
      <c r="J31" s="35">
        <f t="shared" si="7"/>
        <v>19.628121896033473</v>
      </c>
      <c r="K31" s="35">
        <f t="shared" si="7"/>
        <v>19.700010158884965</v>
      </c>
    </row>
    <row r="32" spans="1:14">
      <c r="A32" t="s">
        <v>123</v>
      </c>
      <c r="B32" s="35">
        <f>B30/B4</f>
        <v>6.1652424952987968</v>
      </c>
      <c r="C32" s="35">
        <f t="shared" ref="C32:K32" si="8">C30/C4</f>
        <v>7.3946458300208562</v>
      </c>
      <c r="D32" s="35">
        <f t="shared" si="8"/>
        <v>6.6613663072102574</v>
      </c>
      <c r="E32" s="35">
        <f t="shared" si="8"/>
        <v>6.9805124579071629</v>
      </c>
      <c r="F32" s="35">
        <f t="shared" si="8"/>
        <v>3.8641821546660409</v>
      </c>
      <c r="G32" s="35">
        <f t="shared" si="8"/>
        <v>5.0291001990561837</v>
      </c>
      <c r="H32" s="35">
        <f t="shared" si="8"/>
        <v>4.7018787973327854</v>
      </c>
      <c r="I32" s="35">
        <f t="shared" si="8"/>
        <v>6.2352801779719771</v>
      </c>
      <c r="J32" s="35">
        <f t="shared" si="8"/>
        <v>7.2776356615165119</v>
      </c>
      <c r="K32" s="35">
        <f t="shared" si="8"/>
        <v>6.7580304789989407</v>
      </c>
    </row>
    <row r="33" spans="1:11">
      <c r="A33" t="s">
        <v>125</v>
      </c>
      <c r="B33" s="35">
        <f>B27/'Balance Sheet'!B26</f>
        <v>5.8015722857239247</v>
      </c>
      <c r="C33" s="35">
        <f>C27/'Balance Sheet'!C26</f>
        <v>6.8768107292515257</v>
      </c>
      <c r="D33" s="35">
        <f>D27/'Balance Sheet'!D26</f>
        <v>5.5664134963724132</v>
      </c>
      <c r="E33" s="35">
        <f>E27/'Balance Sheet'!E26</f>
        <v>5.7755936021908356</v>
      </c>
      <c r="F33" s="35">
        <f>F27/'Balance Sheet'!F26</f>
        <v>3.0309955255796939</v>
      </c>
      <c r="G33" s="35">
        <f>G27/'Balance Sheet'!G26</f>
        <v>4.177629728170289</v>
      </c>
      <c r="H33" s="35">
        <f>H27/'Balance Sheet'!H26</f>
        <v>4.6360677966753006</v>
      </c>
      <c r="I33" s="35">
        <f>I27/'Balance Sheet'!I26</f>
        <v>6.4604510488428497</v>
      </c>
      <c r="J33" s="35">
        <f>J27/'Balance Sheet'!J26</f>
        <v>6.728202170265881</v>
      </c>
      <c r="K33" s="35">
        <f>K27/'Balance Sheet'!K26</f>
        <v>7.3220745594212779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0.6640625" customWidth="1"/>
    <col min="2" max="11" width="13.44140625" bestFit="1" customWidth="1"/>
  </cols>
  <sheetData>
    <row r="1" spans="1:11" s="2" customFormat="1">
      <c r="A1" s="2" t="str">
        <f>'Profit &amp; Loss'!A1</f>
        <v>ITC LTD</v>
      </c>
      <c r="E1" t="str">
        <f>UPDATE</f>
        <v/>
      </c>
      <c r="J1" s="2" t="s">
        <v>1</v>
      </c>
    </row>
    <row r="3" spans="1:11" s="2" customFormat="1">
      <c r="A3" s="11" t="s">
        <v>2</v>
      </c>
      <c r="B3" s="12">
        <f>'Data Sheet'!B41</f>
        <v>45107</v>
      </c>
      <c r="C3" s="12">
        <f>'Data Sheet'!C41</f>
        <v>45199</v>
      </c>
      <c r="D3" s="12">
        <f>'Data Sheet'!D41</f>
        <v>45291</v>
      </c>
      <c r="E3" s="12">
        <f>'Data Sheet'!E41</f>
        <v>45382</v>
      </c>
      <c r="F3" s="12">
        <f>'Data Sheet'!F41</f>
        <v>45473</v>
      </c>
      <c r="G3" s="12">
        <f>'Data Sheet'!G41</f>
        <v>45565</v>
      </c>
      <c r="H3" s="12">
        <f>'Data Sheet'!H41</f>
        <v>45657</v>
      </c>
      <c r="I3" s="12">
        <f>'Data Sheet'!I41</f>
        <v>45747</v>
      </c>
      <c r="J3" s="12">
        <f>'Data Sheet'!J41</f>
        <v>45838</v>
      </c>
      <c r="K3" s="12">
        <f>'Data Sheet'!K41</f>
        <v>45930</v>
      </c>
    </row>
    <row r="4" spans="1:11" s="2" customFormat="1">
      <c r="A4" s="2" t="s">
        <v>6</v>
      </c>
      <c r="B4" s="1">
        <f>'Data Sheet'!B42</f>
        <v>17164.46</v>
      </c>
      <c r="C4" s="1">
        <f>'Data Sheet'!C42</f>
        <v>17774.47</v>
      </c>
      <c r="D4" s="1">
        <f>'Data Sheet'!D42</f>
        <v>17195.240000000002</v>
      </c>
      <c r="E4" s="1">
        <f>'Data Sheet'!E42</f>
        <v>17037.8</v>
      </c>
      <c r="F4" s="1">
        <f>'Data Sheet'!F42</f>
        <v>17777.810000000001</v>
      </c>
      <c r="G4" s="1">
        <f>'Data Sheet'!G42</f>
        <v>19990.36</v>
      </c>
      <c r="H4" s="1">
        <f>'Data Sheet'!H42</f>
        <v>18790.169999999998</v>
      </c>
      <c r="I4" s="1">
        <f>'Data Sheet'!I42</f>
        <v>18765</v>
      </c>
      <c r="J4" s="1">
        <f>'Data Sheet'!J42</f>
        <v>21494.79</v>
      </c>
      <c r="K4" s="1">
        <f>'Data Sheet'!K42</f>
        <v>19501.63</v>
      </c>
    </row>
    <row r="5" spans="1:11">
      <c r="A5" t="s">
        <v>7</v>
      </c>
      <c r="B5" s="6">
        <f>'Data Sheet'!B43</f>
        <v>10494.39</v>
      </c>
      <c r="C5" s="6">
        <f>'Data Sheet'!C43</f>
        <v>11320.23</v>
      </c>
      <c r="D5" s="6">
        <f>'Data Sheet'!D43</f>
        <v>10985.01</v>
      </c>
      <c r="E5" s="6">
        <f>'Data Sheet'!E43</f>
        <v>10735.73</v>
      </c>
      <c r="F5" s="6">
        <f>'Data Sheet'!F43</f>
        <v>11232.97</v>
      </c>
      <c r="G5" s="6">
        <f>'Data Sheet'!G43</f>
        <v>13438.28</v>
      </c>
      <c r="H5" s="6">
        <f>'Data Sheet'!H43</f>
        <v>12428.27</v>
      </c>
      <c r="I5" s="6">
        <f>'Data Sheet'!I43</f>
        <v>12245.61</v>
      </c>
      <c r="J5" s="6">
        <f>'Data Sheet'!J43</f>
        <v>14678.32</v>
      </c>
      <c r="K5" s="6">
        <f>'Data Sheet'!K43</f>
        <v>12806.94</v>
      </c>
    </row>
    <row r="6" spans="1:11" s="2" customFormat="1">
      <c r="A6" s="2" t="s">
        <v>8</v>
      </c>
      <c r="B6" s="1">
        <f>'Data Sheet'!B50</f>
        <v>6670.07</v>
      </c>
      <c r="C6" s="1">
        <f>'Data Sheet'!C50</f>
        <v>6454.24</v>
      </c>
      <c r="D6" s="1">
        <f>'Data Sheet'!D50</f>
        <v>6210.23</v>
      </c>
      <c r="E6" s="1">
        <f>'Data Sheet'!E50</f>
        <v>6302.07</v>
      </c>
      <c r="F6" s="1">
        <f>'Data Sheet'!F50</f>
        <v>6544.84</v>
      </c>
      <c r="G6" s="1">
        <f>'Data Sheet'!G50</f>
        <v>6552.08</v>
      </c>
      <c r="H6" s="1">
        <f>'Data Sheet'!H50</f>
        <v>6361.9</v>
      </c>
      <c r="I6" s="1">
        <f>'Data Sheet'!I50</f>
        <v>6519.39</v>
      </c>
      <c r="J6" s="1">
        <f>'Data Sheet'!J50</f>
        <v>6816.47</v>
      </c>
      <c r="K6" s="1">
        <f>'Data Sheet'!K50</f>
        <v>6694.69</v>
      </c>
    </row>
    <row r="7" spans="1:11">
      <c r="A7" t="s">
        <v>9</v>
      </c>
      <c r="B7" s="6">
        <f>'Data Sheet'!B44</f>
        <v>722.3</v>
      </c>
      <c r="C7" s="6">
        <f>'Data Sheet'!C44</f>
        <v>673.5</v>
      </c>
      <c r="D7" s="6">
        <f>'Data Sheet'!D44</f>
        <v>820.26</v>
      </c>
      <c r="E7" s="6">
        <f>'Data Sheet'!E44</f>
        <v>868</v>
      </c>
      <c r="F7" s="6">
        <f>'Data Sheet'!F44</f>
        <v>771.13</v>
      </c>
      <c r="G7" s="6">
        <f>'Data Sheet'!G44</f>
        <v>690.31</v>
      </c>
      <c r="H7" s="6">
        <f>'Data Sheet'!H44</f>
        <v>803.4</v>
      </c>
      <c r="I7" s="6">
        <f>'Data Sheet'!I44</f>
        <v>15391.28</v>
      </c>
      <c r="J7" s="6">
        <f>'Data Sheet'!J44</f>
        <v>750.97</v>
      </c>
      <c r="K7" s="6">
        <f>'Data Sheet'!K44</f>
        <v>738.84</v>
      </c>
    </row>
    <row r="8" spans="1:11">
      <c r="A8" t="s">
        <v>10</v>
      </c>
      <c r="B8" s="6">
        <f>'Data Sheet'!B45</f>
        <v>442.46</v>
      </c>
      <c r="C8" s="6">
        <f>'Data Sheet'!C45</f>
        <v>453.04</v>
      </c>
      <c r="D8" s="6">
        <f>'Data Sheet'!D45</f>
        <v>384.04</v>
      </c>
      <c r="E8" s="6">
        <f>'Data Sheet'!E45</f>
        <v>385.09</v>
      </c>
      <c r="F8" s="6">
        <f>'Data Sheet'!F45</f>
        <v>403.13</v>
      </c>
      <c r="G8" s="6">
        <f>'Data Sheet'!G45</f>
        <v>416.18</v>
      </c>
      <c r="H8" s="6">
        <f>'Data Sheet'!H45</f>
        <v>415.98</v>
      </c>
      <c r="I8" s="6">
        <f>'Data Sheet'!I45</f>
        <v>411.03</v>
      </c>
      <c r="J8" s="6">
        <f>'Data Sheet'!J45</f>
        <v>422.96</v>
      </c>
      <c r="K8" s="6">
        <f>'Data Sheet'!K45</f>
        <v>434.8</v>
      </c>
    </row>
    <row r="9" spans="1:11">
      <c r="A9" t="s">
        <v>11</v>
      </c>
      <c r="B9" s="6">
        <f>'Data Sheet'!B46</f>
        <v>9.9</v>
      </c>
      <c r="C9" s="6">
        <f>'Data Sheet'!C46</f>
        <v>9.8699999999999992</v>
      </c>
      <c r="D9" s="6">
        <f>'Data Sheet'!D46</f>
        <v>11.94</v>
      </c>
      <c r="E9" s="6">
        <f>'Data Sheet'!E46</f>
        <v>10.72</v>
      </c>
      <c r="F9" s="6">
        <f>'Data Sheet'!F46</f>
        <v>9.6</v>
      </c>
      <c r="G9" s="6">
        <f>'Data Sheet'!G46</f>
        <v>14.73</v>
      </c>
      <c r="H9" s="6">
        <f>'Data Sheet'!H46</f>
        <v>9.82</v>
      </c>
      <c r="I9" s="6">
        <f>'Data Sheet'!I46</f>
        <v>10.91</v>
      </c>
      <c r="J9" s="6">
        <f>'Data Sheet'!J46</f>
        <v>16.47</v>
      </c>
      <c r="K9" s="6">
        <f>'Data Sheet'!K46</f>
        <v>20.05</v>
      </c>
    </row>
    <row r="10" spans="1:11">
      <c r="A10" t="s">
        <v>12</v>
      </c>
      <c r="B10" s="6">
        <f>'Data Sheet'!B47</f>
        <v>6940.01</v>
      </c>
      <c r="C10" s="6">
        <f>'Data Sheet'!C47</f>
        <v>6664.83</v>
      </c>
      <c r="D10" s="6">
        <f>'Data Sheet'!D47</f>
        <v>6634.51</v>
      </c>
      <c r="E10" s="6">
        <f>'Data Sheet'!E47</f>
        <v>6774.26</v>
      </c>
      <c r="F10" s="6">
        <f>'Data Sheet'!F47</f>
        <v>6903.24</v>
      </c>
      <c r="G10" s="6">
        <f>'Data Sheet'!G47</f>
        <v>6811.48</v>
      </c>
      <c r="H10" s="6">
        <f>'Data Sheet'!H47</f>
        <v>6739.5</v>
      </c>
      <c r="I10" s="6">
        <f>'Data Sheet'!I47</f>
        <v>21488.73</v>
      </c>
      <c r="J10" s="6">
        <f>'Data Sheet'!J47</f>
        <v>7128.01</v>
      </c>
      <c r="K10" s="6">
        <f>'Data Sheet'!K47</f>
        <v>6978.68</v>
      </c>
    </row>
    <row r="11" spans="1:11">
      <c r="A11" t="s">
        <v>13</v>
      </c>
      <c r="B11" s="6">
        <f>'Data Sheet'!B48</f>
        <v>1759.89</v>
      </c>
      <c r="C11" s="6">
        <f>'Data Sheet'!C48</f>
        <v>1700.31</v>
      </c>
      <c r="D11" s="6">
        <f>'Data Sheet'!D48</f>
        <v>1227.99</v>
      </c>
      <c r="E11" s="6">
        <f>'Data Sheet'!E48</f>
        <v>1583.55</v>
      </c>
      <c r="F11" s="6">
        <f>'Data Sheet'!F48</f>
        <v>1726.25</v>
      </c>
      <c r="G11" s="6">
        <f>'Data Sheet'!G48</f>
        <v>1757.05</v>
      </c>
      <c r="H11" s="6">
        <f>'Data Sheet'!H48</f>
        <v>1726.32</v>
      </c>
      <c r="I11" s="6">
        <f>'Data Sheet'!I48</f>
        <v>1680.85</v>
      </c>
      <c r="J11" s="6">
        <f>'Data Sheet'!J48</f>
        <v>1784.6</v>
      </c>
      <c r="K11" s="6">
        <f>'Data Sheet'!K48</f>
        <v>1792.13</v>
      </c>
    </row>
    <row r="12" spans="1:11" s="2" customFormat="1">
      <c r="A12" s="2" t="s">
        <v>14</v>
      </c>
      <c r="B12" s="1">
        <f>'Data Sheet'!B49</f>
        <v>5104.93</v>
      </c>
      <c r="C12" s="1">
        <f>'Data Sheet'!C49</f>
        <v>4898.07</v>
      </c>
      <c r="D12" s="1">
        <f>'Data Sheet'!D49</f>
        <v>5335.23</v>
      </c>
      <c r="E12" s="1">
        <f>'Data Sheet'!E49</f>
        <v>5120.55</v>
      </c>
      <c r="F12" s="1">
        <f>'Data Sheet'!F49</f>
        <v>5091.59</v>
      </c>
      <c r="G12" s="1">
        <f>'Data Sheet'!G49</f>
        <v>4992.87</v>
      </c>
      <c r="H12" s="1">
        <f>'Data Sheet'!H49</f>
        <v>4934.8</v>
      </c>
      <c r="I12" s="1">
        <f>'Data Sheet'!I49</f>
        <v>19727.37</v>
      </c>
      <c r="J12" s="1">
        <f>'Data Sheet'!J49</f>
        <v>5244.2</v>
      </c>
      <c r="K12" s="1">
        <f>'Data Sheet'!K49</f>
        <v>5126.1099999999997</v>
      </c>
    </row>
    <row r="14" spans="1:11" s="2" customFormat="1">
      <c r="A14" s="2" t="s">
        <v>18</v>
      </c>
      <c r="B14" s="10">
        <f>IF(B4&gt;0,B6/B4,"")</f>
        <v>0.38859771877472404</v>
      </c>
      <c r="C14" s="10">
        <f t="shared" ref="C14:K14" si="0">IF(C4&gt;0,C6/C4,"")</f>
        <v>0.3631185627475812</v>
      </c>
      <c r="D14" s="10">
        <f t="shared" si="0"/>
        <v>0.36115983260483708</v>
      </c>
      <c r="E14" s="10">
        <f t="shared" si="0"/>
        <v>0.36988754416650038</v>
      </c>
      <c r="F14" s="10">
        <f t="shared" si="0"/>
        <v>0.36814658273431877</v>
      </c>
      <c r="G14" s="10">
        <f t="shared" si="0"/>
        <v>0.32776198127497452</v>
      </c>
      <c r="H14" s="10">
        <f t="shared" si="0"/>
        <v>0.3385759681791064</v>
      </c>
      <c r="I14" s="10">
        <f t="shared" si="0"/>
        <v>0.34742286171063153</v>
      </c>
      <c r="J14" s="10">
        <f t="shared" si="0"/>
        <v>0.31712196304313744</v>
      </c>
      <c r="K14" s="10">
        <f t="shared" si="0"/>
        <v>0.34328874047964192</v>
      </c>
    </row>
    <row r="22" s="23" customFormat="1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6"/>
  <sheetViews>
    <sheetView zoomScale="88" workbookViewId="0">
      <pane xSplit="1" ySplit="3" topLeftCell="H4" activePane="bottomRight" state="frozen"/>
      <selection activeCell="C4" sqref="C4"/>
      <selection pane="topRight" activeCell="C4" sqref="C4"/>
      <selection pane="bottomLeft" activeCell="C4" sqref="C4"/>
      <selection pane="bottomRight" activeCell="D24" sqref="D24"/>
    </sheetView>
  </sheetViews>
  <sheetFormatPr defaultColWidth="8.77734375" defaultRowHeight="14.4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>
      <c r="A1" s="2" t="str">
        <f>'Profit &amp; Loss'!A1</f>
        <v>ITC LTD</v>
      </c>
      <c r="E1" t="str">
        <f>UPDATE</f>
        <v/>
      </c>
      <c r="G1"/>
      <c r="J1" s="2" t="s">
        <v>1</v>
      </c>
    </row>
    <row r="2" spans="1:11">
      <c r="G2" s="2"/>
      <c r="H2" s="2"/>
    </row>
    <row r="3" spans="1:11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>
      <c r="A4" t="s">
        <v>24</v>
      </c>
      <c r="B4" s="14">
        <f>'Data Sheet'!B57</f>
        <v>804.72</v>
      </c>
      <c r="C4" s="14">
        <f>'Data Sheet'!C57</f>
        <v>1214.74</v>
      </c>
      <c r="D4" s="14">
        <f>'Data Sheet'!D57</f>
        <v>1220.43</v>
      </c>
      <c r="E4" s="14">
        <f>'Data Sheet'!E57</f>
        <v>1225.8599999999999</v>
      </c>
      <c r="F4" s="14">
        <f>'Data Sheet'!F57</f>
        <v>1229.22</v>
      </c>
      <c r="G4" s="14">
        <f>'Data Sheet'!G57</f>
        <v>1230.8800000000001</v>
      </c>
      <c r="H4" s="14">
        <f>'Data Sheet'!H57</f>
        <v>1232.33</v>
      </c>
      <c r="I4" s="14">
        <f>'Data Sheet'!I57</f>
        <v>1242.8</v>
      </c>
      <c r="J4" s="14">
        <f>'Data Sheet'!J57</f>
        <v>1248.47</v>
      </c>
      <c r="K4" s="14">
        <f>'Data Sheet'!K57</f>
        <v>1251.4100000000001</v>
      </c>
    </row>
    <row r="5" spans="1:11">
      <c r="A5" t="s">
        <v>25</v>
      </c>
      <c r="B5" s="14">
        <f>'Data Sheet'!B58</f>
        <v>41874.800000000003</v>
      </c>
      <c r="C5" s="14">
        <f>'Data Sheet'!C58</f>
        <v>45198.19</v>
      </c>
      <c r="D5" s="14">
        <f>'Data Sheet'!D58</f>
        <v>51289.68</v>
      </c>
      <c r="E5" s="14">
        <f>'Data Sheet'!E58</f>
        <v>57915.01</v>
      </c>
      <c r="F5" s="14">
        <f>'Data Sheet'!F58</f>
        <v>64044.04</v>
      </c>
      <c r="G5" s="14">
        <f>'Data Sheet'!G58</f>
        <v>59116.46</v>
      </c>
      <c r="H5" s="14">
        <f>'Data Sheet'!H58</f>
        <v>61223.24</v>
      </c>
      <c r="I5" s="14">
        <f>'Data Sheet'!I58</f>
        <v>67912.460000000006</v>
      </c>
      <c r="J5" s="14">
        <f>'Data Sheet'!J58</f>
        <v>73258.53</v>
      </c>
      <c r="K5" s="14">
        <f>'Data Sheet'!K58</f>
        <v>68778.64</v>
      </c>
    </row>
    <row r="6" spans="1:11">
      <c r="A6" t="s">
        <v>71</v>
      </c>
      <c r="B6" s="14">
        <f>'Data Sheet'!B59</f>
        <v>83.78</v>
      </c>
      <c r="C6" s="14">
        <f>'Data Sheet'!C59</f>
        <v>45.72</v>
      </c>
      <c r="D6" s="14">
        <f>'Data Sheet'!D59</f>
        <v>35.92</v>
      </c>
      <c r="E6" s="14">
        <f>'Data Sheet'!E59</f>
        <v>13.44</v>
      </c>
      <c r="F6" s="14">
        <f>'Data Sheet'!F59</f>
        <v>277.45</v>
      </c>
      <c r="G6" s="14">
        <f>'Data Sheet'!G59</f>
        <v>270.83</v>
      </c>
      <c r="H6" s="14">
        <f>'Data Sheet'!H59</f>
        <v>249.44</v>
      </c>
      <c r="I6" s="14">
        <f>'Data Sheet'!I59</f>
        <v>306.04000000000002</v>
      </c>
      <c r="J6" s="14">
        <f>'Data Sheet'!J59</f>
        <v>303.43</v>
      </c>
      <c r="K6" s="14">
        <f>'Data Sheet'!K59</f>
        <v>284.54000000000002</v>
      </c>
    </row>
    <row r="7" spans="1:11">
      <c r="A7" t="s">
        <v>72</v>
      </c>
      <c r="B7" s="14">
        <f>'Data Sheet'!B60</f>
        <v>8888.0400000000009</v>
      </c>
      <c r="C7" s="14">
        <f>'Data Sheet'!C60</f>
        <v>9439.67</v>
      </c>
      <c r="D7" s="14">
        <f>'Data Sheet'!D60</f>
        <v>11694.85</v>
      </c>
      <c r="E7" s="14">
        <f>'Data Sheet'!E60</f>
        <v>12584.73</v>
      </c>
      <c r="F7" s="14">
        <f>'Data Sheet'!F60</f>
        <v>11760.04</v>
      </c>
      <c r="G7" s="14">
        <f>'Data Sheet'!G60</f>
        <v>13142.59</v>
      </c>
      <c r="H7" s="14">
        <f>'Data Sheet'!H60</f>
        <v>14491.01</v>
      </c>
      <c r="I7" s="14">
        <f>'Data Sheet'!I60</f>
        <v>16369.66</v>
      </c>
      <c r="J7" s="14">
        <f>'Data Sheet'!J60</f>
        <v>16943.54</v>
      </c>
      <c r="K7" s="14">
        <f>'Data Sheet'!K60</f>
        <v>17688.11</v>
      </c>
    </row>
    <row r="8" spans="1:11" s="2" customFormat="1">
      <c r="A8" s="2" t="s">
        <v>26</v>
      </c>
      <c r="B8" s="15">
        <f>'Data Sheet'!B61</f>
        <v>51651.34</v>
      </c>
      <c r="C8" s="15">
        <f>'Data Sheet'!C61</f>
        <v>55898.32</v>
      </c>
      <c r="D8" s="15">
        <f>'Data Sheet'!D61</f>
        <v>64240.88</v>
      </c>
      <c r="E8" s="15">
        <f>'Data Sheet'!E61</f>
        <v>71739.039999999994</v>
      </c>
      <c r="F8" s="15">
        <f>'Data Sheet'!F61</f>
        <v>77310.75</v>
      </c>
      <c r="G8" s="15">
        <f>'Data Sheet'!G61</f>
        <v>73760.759999999995</v>
      </c>
      <c r="H8" s="15">
        <f>'Data Sheet'!H61</f>
        <v>77196.02</v>
      </c>
      <c r="I8" s="15">
        <f>'Data Sheet'!I61</f>
        <v>85830.96</v>
      </c>
      <c r="J8" s="15">
        <f>'Data Sheet'!J61</f>
        <v>91753.97</v>
      </c>
      <c r="K8" s="15">
        <f>'Data Sheet'!K61</f>
        <v>88002.7</v>
      </c>
    </row>
    <row r="9" spans="1:11" s="2" customForma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t="s">
        <v>27</v>
      </c>
      <c r="B10" s="14">
        <f>'Data Sheet'!B62</f>
        <v>15106.63</v>
      </c>
      <c r="C10" s="14">
        <f>'Data Sheet'!C62</f>
        <v>15893.48</v>
      </c>
      <c r="D10" s="14">
        <f>'Data Sheet'!D62</f>
        <v>16523.96</v>
      </c>
      <c r="E10" s="14">
        <f>'Data Sheet'!E62</f>
        <v>19374.189999999999</v>
      </c>
      <c r="F10" s="14">
        <f>'Data Sheet'!F62</f>
        <v>21713.34</v>
      </c>
      <c r="G10" s="14">
        <f>'Data Sheet'!G62</f>
        <v>23298.48</v>
      </c>
      <c r="H10" s="14">
        <f>'Data Sheet'!H62</f>
        <v>24231.59</v>
      </c>
      <c r="I10" s="14">
        <f>'Data Sheet'!I62</f>
        <v>25851.27</v>
      </c>
      <c r="J10" s="14">
        <f>'Data Sheet'!J62</f>
        <v>27820.22</v>
      </c>
      <c r="K10" s="14">
        <f>'Data Sheet'!K62</f>
        <v>21954.85</v>
      </c>
    </row>
    <row r="11" spans="1:11">
      <c r="A11" t="s">
        <v>28</v>
      </c>
      <c r="B11" s="14">
        <f>'Data Sheet'!B63</f>
        <v>2559.7199999999998</v>
      </c>
      <c r="C11" s="14">
        <f>'Data Sheet'!C63</f>
        <v>3729.89</v>
      </c>
      <c r="D11" s="14">
        <f>'Data Sheet'!D63</f>
        <v>5508.33</v>
      </c>
      <c r="E11" s="14">
        <f>'Data Sheet'!E63</f>
        <v>4136.42</v>
      </c>
      <c r="F11" s="14">
        <f>'Data Sheet'!F63</f>
        <v>3256.46</v>
      </c>
      <c r="G11" s="14">
        <f>'Data Sheet'!G63</f>
        <v>4011.29</v>
      </c>
      <c r="H11" s="14">
        <f>'Data Sheet'!H63</f>
        <v>3225.54</v>
      </c>
      <c r="I11" s="14">
        <f>'Data Sheet'!I63</f>
        <v>3003.3</v>
      </c>
      <c r="J11" s="14">
        <f>'Data Sheet'!J63</f>
        <v>2860.78</v>
      </c>
      <c r="K11" s="14">
        <f>'Data Sheet'!K63</f>
        <v>1090.9100000000001</v>
      </c>
    </row>
    <row r="12" spans="1:11">
      <c r="A12" t="s">
        <v>29</v>
      </c>
      <c r="B12" s="14">
        <f>'Data Sheet'!B64</f>
        <v>11747.59</v>
      </c>
      <c r="C12" s="14">
        <f>'Data Sheet'!C64</f>
        <v>17581.38</v>
      </c>
      <c r="D12" s="14">
        <f>'Data Sheet'!D64</f>
        <v>22052.86</v>
      </c>
      <c r="E12" s="14">
        <f>'Data Sheet'!E64</f>
        <v>25043.49</v>
      </c>
      <c r="F12" s="14">
        <f>'Data Sheet'!F64</f>
        <v>28663.35</v>
      </c>
      <c r="G12" s="14">
        <f>'Data Sheet'!G64</f>
        <v>24870.87</v>
      </c>
      <c r="H12" s="14">
        <f>'Data Sheet'!H64</f>
        <v>24841.01</v>
      </c>
      <c r="I12" s="14">
        <f>'Data Sheet'!I64</f>
        <v>29415.02</v>
      </c>
      <c r="J12" s="14">
        <f>'Data Sheet'!J64</f>
        <v>31114.02</v>
      </c>
      <c r="K12" s="14">
        <f>'Data Sheet'!K64</f>
        <v>34719.82</v>
      </c>
    </row>
    <row r="13" spans="1:11">
      <c r="A13" t="s">
        <v>73</v>
      </c>
      <c r="B13" s="14">
        <f>'Data Sheet'!B65</f>
        <v>22237.4</v>
      </c>
      <c r="C13" s="14">
        <f>'Data Sheet'!C65</f>
        <v>18693.57</v>
      </c>
      <c r="D13" s="14">
        <f>'Data Sheet'!D65</f>
        <v>20155.73</v>
      </c>
      <c r="E13" s="14">
        <f>'Data Sheet'!E65</f>
        <v>23184.94</v>
      </c>
      <c r="F13" s="14">
        <f>'Data Sheet'!F65</f>
        <v>23677.599999999999</v>
      </c>
      <c r="G13" s="14">
        <f>'Data Sheet'!G65</f>
        <v>21580.12</v>
      </c>
      <c r="H13" s="14">
        <f>'Data Sheet'!H65</f>
        <v>24897.88</v>
      </c>
      <c r="I13" s="14">
        <f>'Data Sheet'!I65</f>
        <v>27561.37</v>
      </c>
      <c r="J13" s="14">
        <f>'Data Sheet'!J65</f>
        <v>29958.95</v>
      </c>
      <c r="K13" s="14">
        <f>'Data Sheet'!K65</f>
        <v>30237.119999999999</v>
      </c>
    </row>
    <row r="14" spans="1:11" s="2" customFormat="1">
      <c r="A14" s="2" t="s">
        <v>26</v>
      </c>
      <c r="B14" s="14">
        <f>'Data Sheet'!B66</f>
        <v>51651.34</v>
      </c>
      <c r="C14" s="14">
        <f>'Data Sheet'!C66</f>
        <v>55898.32</v>
      </c>
      <c r="D14" s="14">
        <f>'Data Sheet'!D66</f>
        <v>64240.88</v>
      </c>
      <c r="E14" s="14">
        <f>'Data Sheet'!E66</f>
        <v>71739.039999999994</v>
      </c>
      <c r="F14" s="14">
        <f>'Data Sheet'!F66</f>
        <v>77310.75</v>
      </c>
      <c r="G14" s="14">
        <f>'Data Sheet'!G66</f>
        <v>73760.759999999995</v>
      </c>
      <c r="H14" s="14">
        <f>'Data Sheet'!H66</f>
        <v>77196.02</v>
      </c>
      <c r="I14" s="14">
        <f>'Data Sheet'!I66</f>
        <v>85830.96</v>
      </c>
      <c r="J14" s="14">
        <f>'Data Sheet'!J66</f>
        <v>91753.97</v>
      </c>
      <c r="K14" s="14">
        <f>'Data Sheet'!K66</f>
        <v>88002.7</v>
      </c>
    </row>
    <row r="15" spans="1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t="s">
        <v>30</v>
      </c>
      <c r="B16" s="4">
        <f>B13-B7</f>
        <v>13349.36</v>
      </c>
      <c r="C16" s="4">
        <f t="shared" ref="C16:K16" si="0">C13-C7</f>
        <v>9253.9</v>
      </c>
      <c r="D16" s="4">
        <f t="shared" si="0"/>
        <v>8460.8799999999992</v>
      </c>
      <c r="E16" s="4">
        <f t="shared" si="0"/>
        <v>10600.21</v>
      </c>
      <c r="F16" s="4">
        <f t="shared" si="0"/>
        <v>11917.559999999998</v>
      </c>
      <c r="G16" s="4">
        <f t="shared" si="0"/>
        <v>8437.5299999999988</v>
      </c>
      <c r="H16" s="4">
        <f t="shared" si="0"/>
        <v>10406.870000000001</v>
      </c>
      <c r="I16" s="4">
        <f t="shared" si="0"/>
        <v>11191.71</v>
      </c>
      <c r="J16" s="4">
        <f t="shared" si="0"/>
        <v>13015.41</v>
      </c>
      <c r="K16" s="4">
        <f t="shared" si="0"/>
        <v>12549.009999999998</v>
      </c>
    </row>
    <row r="17" spans="1:11">
      <c r="A17" t="s">
        <v>44</v>
      </c>
      <c r="B17" s="4">
        <f>'Data Sheet'!B67</f>
        <v>1917.18</v>
      </c>
      <c r="C17" s="4">
        <f>'Data Sheet'!C67</f>
        <v>2474.29</v>
      </c>
      <c r="D17" s="4">
        <f>'Data Sheet'!D67</f>
        <v>2682.29</v>
      </c>
      <c r="E17" s="4">
        <f>'Data Sheet'!E67</f>
        <v>4035.28</v>
      </c>
      <c r="F17" s="4">
        <f>'Data Sheet'!F67</f>
        <v>2562.48</v>
      </c>
      <c r="G17" s="4">
        <f>'Data Sheet'!G67</f>
        <v>2501.6999999999998</v>
      </c>
      <c r="H17" s="4">
        <f>'Data Sheet'!H67</f>
        <v>2461.9</v>
      </c>
      <c r="I17" s="4">
        <f>'Data Sheet'!I67</f>
        <v>2956.17</v>
      </c>
      <c r="J17" s="4">
        <f>'Data Sheet'!J67</f>
        <v>4025.82</v>
      </c>
      <c r="K17" s="4">
        <f>'Data Sheet'!K67</f>
        <v>4719.67</v>
      </c>
    </row>
    <row r="18" spans="1:11">
      <c r="A18" t="s">
        <v>45</v>
      </c>
      <c r="B18" s="4">
        <f>'Data Sheet'!B68</f>
        <v>9062.1</v>
      </c>
      <c r="C18" s="4">
        <f>'Data Sheet'!C68</f>
        <v>8116.1</v>
      </c>
      <c r="D18" s="4">
        <f>'Data Sheet'!D68</f>
        <v>7495.09</v>
      </c>
      <c r="E18" s="4">
        <f>'Data Sheet'!E68</f>
        <v>7859.56</v>
      </c>
      <c r="F18" s="4">
        <f>'Data Sheet'!F68</f>
        <v>8879.33</v>
      </c>
      <c r="G18" s="4">
        <f>'Data Sheet'!G68</f>
        <v>10397.16</v>
      </c>
      <c r="H18" s="4">
        <f>'Data Sheet'!H68</f>
        <v>10864.15</v>
      </c>
      <c r="I18" s="4">
        <f>'Data Sheet'!I68</f>
        <v>11771.16</v>
      </c>
      <c r="J18" s="4">
        <f>'Data Sheet'!J68</f>
        <v>14152.88</v>
      </c>
      <c r="K18" s="4">
        <f>'Data Sheet'!K68</f>
        <v>15637.56</v>
      </c>
    </row>
    <row r="20" spans="1:11">
      <c r="A20" t="s">
        <v>46</v>
      </c>
      <c r="B20" s="4">
        <f>IF('Profit &amp; Loss'!B4&gt;0,'Balance Sheet'!B17/('Profit &amp; Loss'!B4/365),0)</f>
        <v>17.854891674597688</v>
      </c>
      <c r="C20" s="4">
        <f>IF('Profit &amp; Loss'!C4&gt;0,'Balance Sheet'!C17/('Profit &amp; Loss'!C4/365),0)</f>
        <v>21.116823249375695</v>
      </c>
      <c r="D20" s="4">
        <f>IF('Profit &amp; Loss'!D4&gt;0,'Balance Sheet'!D17/('Profit &amp; Loss'!D4/365),0)</f>
        <v>22.533020368275956</v>
      </c>
      <c r="E20" s="4">
        <f>IF('Profit &amp; Loss'!E4&gt;0,'Balance Sheet'!E17/('Profit &amp; Loss'!E4/365),0)</f>
        <v>30.469383474163411</v>
      </c>
      <c r="F20" s="4">
        <f>IF('Profit &amp; Loss'!F4&gt;0,'Balance Sheet'!F17/('Profit &amp; Loss'!F4/365),0)</f>
        <v>18.938018980434403</v>
      </c>
      <c r="G20" s="4">
        <f>IF('Profit &amp; Loss'!G4&gt;0,'Balance Sheet'!G17/('Profit &amp; Loss'!G4/365),0)</f>
        <v>18.537713584442557</v>
      </c>
      <c r="H20" s="4">
        <f>IF('Profit &amp; Loss'!H4&gt;0,'Balance Sheet'!H17/('Profit &amp; Loss'!H4/365),0)</f>
        <v>14.817385044061677</v>
      </c>
      <c r="I20" s="4">
        <f>IF('Profit &amp; Loss'!I4&gt;0,'Balance Sheet'!I17/('Profit &amp; Loss'!I4/365),0)</f>
        <v>15.214563002342249</v>
      </c>
      <c r="J20" s="4">
        <f>IF('Profit &amp; Loss'!J4&gt;0,'Balance Sheet'!J17/('Profit &amp; Loss'!J4/365),0)</f>
        <v>21.630830799179297</v>
      </c>
      <c r="K20" s="4">
        <f>IF('Profit &amp; Loss'!K4&gt;0,'Balance Sheet'!K17/('Profit &amp; Loss'!K4/365),0)</f>
        <v>22.870461532906003</v>
      </c>
    </row>
    <row r="21" spans="1:11">
      <c r="A21" t="s">
        <v>47</v>
      </c>
      <c r="B21" s="4">
        <f>IF('Balance Sheet'!B18&gt;0,'Profit &amp; Loss'!B4/'Balance Sheet'!B18,0)</f>
        <v>4.3248364065724276</v>
      </c>
      <c r="C21" s="4">
        <f>IF('Balance Sheet'!C18&gt;0,'Profit &amp; Loss'!C4/'Balance Sheet'!C18,0)</f>
        <v>5.2694767191138601</v>
      </c>
      <c r="D21" s="4">
        <f>IF('Balance Sheet'!D18&gt;0,'Profit &amp; Loss'!D4/'Balance Sheet'!D18,0)</f>
        <v>5.7969870942176813</v>
      </c>
      <c r="E21" s="4">
        <f>IF('Balance Sheet'!E18&gt;0,'Profit &amp; Loss'!E4/'Balance Sheet'!E18,0)</f>
        <v>6.1504180895622653</v>
      </c>
      <c r="F21" s="4">
        <f>IF('Balance Sheet'!F18&gt;0,'Profit &amp; Loss'!F4/'Balance Sheet'!F18,0)</f>
        <v>5.5620975906965953</v>
      </c>
      <c r="G21" s="4">
        <f>IF('Balance Sheet'!G18&gt;0,'Profit &amp; Loss'!G4/'Balance Sheet'!G18,0)</f>
        <v>4.7375869949101483</v>
      </c>
      <c r="H21" s="4">
        <f>IF('Balance Sheet'!H18&gt;0,'Profit &amp; Loss'!H4/'Balance Sheet'!H18,0)</f>
        <v>5.5820786715941884</v>
      </c>
      <c r="I21" s="4">
        <f>IF('Balance Sheet'!I18&gt;0,'Profit &amp; Loss'!I4/'Balance Sheet'!I18,0)</f>
        <v>6.0248123379514</v>
      </c>
      <c r="J21" s="4">
        <f>IF('Balance Sheet'!J18&gt;0,'Profit &amp; Loss'!J4/'Balance Sheet'!J18,0)</f>
        <v>4.7998668822176125</v>
      </c>
      <c r="K21" s="4">
        <f>IF('Balance Sheet'!K18&gt;0,'Profit &amp; Loss'!K4/'Balance Sheet'!K18,0)</f>
        <v>4.8168218059594974</v>
      </c>
    </row>
    <row r="23" spans="1:11" s="2" customFormat="1">
      <c r="A23" s="2" t="s">
        <v>59</v>
      </c>
      <c r="B23" s="10">
        <f>IF(SUM('Balance Sheet'!B4:B5)&gt;0,'Profit &amp; Loss'!B12/SUM('Balance Sheet'!B4:B5),"")</f>
        <v>0.21894458981731754</v>
      </c>
      <c r="C23" s="10">
        <f>IF(SUM('Balance Sheet'!C4:C5)&gt;0,'Profit &amp; Loss'!C12/SUM('Balance Sheet'!C4:C5),"")</f>
        <v>0.2216933944915781</v>
      </c>
      <c r="D23" s="10">
        <f>IF(SUM('Balance Sheet'!D4:D5)&gt;0,'Profit &amp; Loss'!D12/SUM('Balance Sheet'!D4:D5),"")</f>
        <v>0.21464818870118538</v>
      </c>
      <c r="E23" s="10">
        <f>IF(SUM('Balance Sheet'!E4:E5)&gt;0,'Profit &amp; Loss'!E12/SUM('Balance Sheet'!E4:E5),"")</f>
        <v>0.21292094620860327</v>
      </c>
      <c r="F23" s="10">
        <f>IF(SUM('Balance Sheet'!F4:F5)&gt;0,'Profit &amp; Loss'!F12/SUM('Balance Sheet'!F4:F5),"")</f>
        <v>0.23449464604648212</v>
      </c>
      <c r="G23" s="10">
        <f>IF(SUM('Balance Sheet'!G4:G5)&gt;0,'Profit &amp; Loss'!G12/SUM('Balance Sheet'!G4:G5),"")</f>
        <v>0.21809063995198466</v>
      </c>
      <c r="H23" s="10">
        <f>IF(SUM('Balance Sheet'!H4:H5)&gt;0,'Profit &amp; Loss'!H12/SUM('Balance Sheet'!H4:H5),"")</f>
        <v>0.24405605456807136</v>
      </c>
      <c r="I23" s="10">
        <f>IF(SUM('Balance Sheet'!I4:I5)&gt;0,'Profit &amp; Loss'!I12/SUM('Balance Sheet'!I4:I5),"")</f>
        <v>0.2775155497933201</v>
      </c>
      <c r="J23" s="10">
        <f>IF(SUM('Balance Sheet'!J4:J5)&gt;0,'Profit &amp; Loss'!J12/SUM('Balance Sheet'!J4:J5),"")</f>
        <v>0.27458869636409999</v>
      </c>
      <c r="K23" s="10">
        <f>IF(SUM('Balance Sheet'!K4:K5)&gt;0,'Profit &amp; Loss'!K12/SUM('Balance Sheet'!K4:K5),"")</f>
        <v>0.49616743098141436</v>
      </c>
    </row>
    <row r="24" spans="1:11" s="2" customFormat="1">
      <c r="A24" s="2" t="s">
        <v>60</v>
      </c>
      <c r="B24" s="10"/>
      <c r="C24" s="10">
        <f>IF((B4+B5+B6+C4+C5+C6)&gt;0,('Profit &amp; Loss'!C10+'Profit &amp; Loss'!C9)*2/(B4+B5+B6+C4+C5+C6),"")</f>
        <v>0.36034518411668875</v>
      </c>
      <c r="D24" s="10">
        <f>IF((C4+C5+C6+D4+D5+D6)&gt;0,('Profit &amp; Loss'!D10+'Profit &amp; Loss'!D9)*2/(C4+C5+C6+D4+D5+D6),"")</f>
        <v>0.35400589143866729</v>
      </c>
      <c r="E24" s="10">
        <f>IF((D4+D5+D6+E4+E5+E6)&gt;0,('Profit &amp; Loss'!E10+'Profit &amp; Loss'!E9)*2/(D4+D5+D6+E4+E5+E6),"")</f>
        <v>0.34415687544012852</v>
      </c>
      <c r="F24" s="10">
        <f>IF((E4+E5+E6+F4+F5+F6)&gt;0,('Profit &amp; Loss'!F10+'Profit &amp; Loss'!F9)*2/(E4+E5+E6+F4+F5+F6),"")</f>
        <v>0.32261652337652486</v>
      </c>
      <c r="G24" s="10">
        <f>IF((F4+F5+F6+G4+G5+G6)&gt;0,('Profit &amp; Loss'!G10+'Profit &amp; Loss'!G9)*2/(F4+F5+F6+G4+G5+G6),"")</f>
        <v>0.28527066262298589</v>
      </c>
      <c r="H24" s="10">
        <f>IF((G4+G5+G6+H4+H5+H6)&gt;0,('Profit &amp; Loss'!H10+'Profit &amp; Loss'!H9)*2/(G4+G5+G6+H4+H5+H6),"")</f>
        <v>0.33733252742915004</v>
      </c>
      <c r="I24" s="10">
        <f>IF((H4+H5+H6+I4+I5+I6)&gt;0,('Profit &amp; Loss'!I10+'Profit &amp; Loss'!I9)*2/(H4+H5+H6+I4+I5+I6),"")</f>
        <v>0.39333609298769096</v>
      </c>
      <c r="J24" s="10">
        <f>IF((I4+I5+I6+J4+J5+J6)&gt;0,('Profit &amp; Loss'!J10+'Profit &amp; Loss'!J9)*2/(I4+I5+I6+J4+J5+J6),"")</f>
        <v>0.3742927321936183</v>
      </c>
      <c r="K24" s="10">
        <f>IF((J4+J5+J6+K4+K5+K6)&gt;0,('Profit &amp; Loss'!K10+'Profit &amp; Loss'!K9)*2/(J4+J5+J6+K4+K5+K6),"")</f>
        <v>0.57864605289976878</v>
      </c>
    </row>
    <row r="26" spans="1:11">
      <c r="A26" t="s">
        <v>124</v>
      </c>
      <c r="B26" s="39">
        <f>B4+B5</f>
        <v>42679.520000000004</v>
      </c>
      <c r="C26" s="39">
        <f t="shared" ref="C26:K26" si="1">C4+C5</f>
        <v>46412.93</v>
      </c>
      <c r="D26" s="39">
        <f t="shared" si="1"/>
        <v>52510.11</v>
      </c>
      <c r="E26" s="39">
        <f t="shared" si="1"/>
        <v>59140.87</v>
      </c>
      <c r="F26" s="39">
        <f t="shared" si="1"/>
        <v>65273.26</v>
      </c>
      <c r="G26" s="39">
        <f t="shared" si="1"/>
        <v>60347.34</v>
      </c>
      <c r="H26" s="39">
        <f t="shared" si="1"/>
        <v>62455.57</v>
      </c>
      <c r="I26" s="39">
        <f t="shared" si="1"/>
        <v>69155.260000000009</v>
      </c>
      <c r="J26" s="39">
        <f t="shared" si="1"/>
        <v>74507</v>
      </c>
      <c r="K26" s="39">
        <f t="shared" si="1"/>
        <v>70030.05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>
      <c r="A1" s="2" t="str">
        <f>'Balance Sheet'!A1</f>
        <v>ITC LTD</v>
      </c>
      <c r="E1" t="str">
        <f>UPDATE</f>
        <v/>
      </c>
      <c r="F1"/>
      <c r="J1" s="2" t="s">
        <v>1</v>
      </c>
    </row>
    <row r="3" spans="1:11" s="2" customFormat="1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>
      <c r="A4" s="2" t="s">
        <v>32</v>
      </c>
      <c r="B4" s="1">
        <f>'Data Sheet'!B82</f>
        <v>9799.0400000000009</v>
      </c>
      <c r="C4" s="1">
        <f>'Data Sheet'!C82</f>
        <v>10627.31</v>
      </c>
      <c r="D4" s="1">
        <f>'Data Sheet'!D82</f>
        <v>13169.4</v>
      </c>
      <c r="E4" s="1">
        <f>'Data Sheet'!E82</f>
        <v>12583.41</v>
      </c>
      <c r="F4" s="1">
        <f>'Data Sheet'!F82</f>
        <v>14689.66</v>
      </c>
      <c r="G4" s="1">
        <f>'Data Sheet'!G82</f>
        <v>12526.97</v>
      </c>
      <c r="H4" s="1">
        <f>'Data Sheet'!H82</f>
        <v>15775.51</v>
      </c>
      <c r="I4" s="1">
        <f>'Data Sheet'!I82</f>
        <v>18877.55</v>
      </c>
      <c r="J4" s="1">
        <f>'Data Sheet'!J82</f>
        <v>17178.86</v>
      </c>
      <c r="K4" s="1">
        <f>'Data Sheet'!K82</f>
        <v>17627.04</v>
      </c>
    </row>
    <row r="5" spans="1:11">
      <c r="A5" t="s">
        <v>33</v>
      </c>
      <c r="B5" s="6">
        <f>'Data Sheet'!B83</f>
        <v>-3920.73</v>
      </c>
      <c r="C5" s="6">
        <f>'Data Sheet'!C83</f>
        <v>-3250.93</v>
      </c>
      <c r="D5" s="6">
        <f>'Data Sheet'!D83</f>
        <v>-7113.89</v>
      </c>
      <c r="E5" s="6">
        <f>'Data Sheet'!E83</f>
        <v>-5545.68</v>
      </c>
      <c r="F5" s="6">
        <f>'Data Sheet'!F83</f>
        <v>-6174.02</v>
      </c>
      <c r="G5" s="6">
        <f>'Data Sheet'!G83</f>
        <v>5739.98</v>
      </c>
      <c r="H5" s="6">
        <f>'Data Sheet'!H83</f>
        <v>-2238.4899999999998</v>
      </c>
      <c r="I5" s="6">
        <f>'Data Sheet'!I83</f>
        <v>-5732.29</v>
      </c>
      <c r="J5" s="6">
        <f>'Data Sheet'!J83</f>
        <v>1562.77</v>
      </c>
      <c r="K5" s="6">
        <f>'Data Sheet'!K83</f>
        <v>-563.84</v>
      </c>
    </row>
    <row r="6" spans="1:11">
      <c r="A6" t="s">
        <v>34</v>
      </c>
      <c r="B6" s="6">
        <f>'Data Sheet'!B84</f>
        <v>-5612.52</v>
      </c>
      <c r="C6" s="6">
        <f>'Data Sheet'!C84</f>
        <v>-7301.03</v>
      </c>
      <c r="D6" s="6">
        <f>'Data Sheet'!D84</f>
        <v>-6221.13</v>
      </c>
      <c r="E6" s="6">
        <f>'Data Sheet'!E84</f>
        <v>-6868.64</v>
      </c>
      <c r="F6" s="6">
        <f>'Data Sheet'!F84</f>
        <v>-8181.48</v>
      </c>
      <c r="G6" s="6">
        <f>'Data Sheet'!G84</f>
        <v>-18633.830000000002</v>
      </c>
      <c r="H6" s="6">
        <f>'Data Sheet'!H84</f>
        <v>-13580.5</v>
      </c>
      <c r="I6" s="6">
        <f>'Data Sheet'!I84</f>
        <v>-13006.03</v>
      </c>
      <c r="J6" s="6">
        <f>'Data Sheet'!J84</f>
        <v>-18550.96</v>
      </c>
      <c r="K6" s="6">
        <f>'Data Sheet'!K84</f>
        <v>-17037.400000000001</v>
      </c>
    </row>
    <row r="7" spans="1:11" s="2" customFormat="1">
      <c r="A7" s="2" t="s">
        <v>35</v>
      </c>
      <c r="B7" s="1">
        <f>'Data Sheet'!B85</f>
        <v>265.79000000000002</v>
      </c>
      <c r="C7" s="1">
        <f>'Data Sheet'!C85</f>
        <v>75.349999999999994</v>
      </c>
      <c r="D7" s="1">
        <f>'Data Sheet'!D85</f>
        <v>-165.62</v>
      </c>
      <c r="E7" s="1">
        <f>'Data Sheet'!E85</f>
        <v>169.09</v>
      </c>
      <c r="F7" s="1">
        <f>'Data Sheet'!F85</f>
        <v>334.16</v>
      </c>
      <c r="G7" s="1">
        <f>'Data Sheet'!G85</f>
        <v>-366.88</v>
      </c>
      <c r="H7" s="1">
        <f>'Data Sheet'!H85</f>
        <v>-43.48</v>
      </c>
      <c r="I7" s="1">
        <f>'Data Sheet'!I85</f>
        <v>139.22999999999999</v>
      </c>
      <c r="J7" s="1">
        <f>'Data Sheet'!J85</f>
        <v>190.67</v>
      </c>
      <c r="K7" s="1">
        <f>'Data Sheet'!K85</f>
        <v>25.8</v>
      </c>
    </row>
    <row r="8" spans="1:11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>
      <c r="A1" s="19" t="s">
        <v>56</v>
      </c>
    </row>
    <row r="3" spans="1:7">
      <c r="A3" s="2" t="s">
        <v>48</v>
      </c>
    </row>
    <row r="4" spans="1:7">
      <c r="B4" t="s">
        <v>90</v>
      </c>
    </row>
    <row r="5" spans="1:7">
      <c r="B5" t="s">
        <v>49</v>
      </c>
    </row>
    <row r="7" spans="1:7">
      <c r="A7" s="2" t="s">
        <v>50</v>
      </c>
    </row>
    <row r="8" spans="1:7">
      <c r="B8" t="s">
        <v>51</v>
      </c>
      <c r="C8" s="21" t="s">
        <v>91</v>
      </c>
    </row>
    <row r="10" spans="1:7">
      <c r="A10" s="2" t="s">
        <v>52</v>
      </c>
    </row>
    <row r="11" spans="1:7">
      <c r="B11" t="s">
        <v>53</v>
      </c>
    </row>
    <row r="14" spans="1:7">
      <c r="A14" s="2" t="s">
        <v>54</v>
      </c>
    </row>
    <row r="15" spans="1:7">
      <c r="B15" t="s">
        <v>55</v>
      </c>
    </row>
    <row r="16" spans="1:7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4"/>
  <sheetViews>
    <sheetView zoomScale="69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7" sqref="B7"/>
    </sheetView>
  </sheetViews>
  <sheetFormatPr defaultColWidth="8.77734375" defaultRowHeight="14.4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>
      <c r="A1" s="1" t="s">
        <v>0</v>
      </c>
      <c r="B1" s="1" t="s">
        <v>63</v>
      </c>
      <c r="E1" s="76" t="str">
        <f>IF(B2&lt;&gt;B3, "A NEW VERSION OF THE WORKSHEET IS AVAILABLE", "")</f>
        <v/>
      </c>
      <c r="F1" s="76"/>
      <c r="G1" s="76"/>
      <c r="H1" s="76"/>
      <c r="I1" s="76"/>
      <c r="J1" s="76"/>
      <c r="K1" s="76"/>
    </row>
    <row r="2" spans="1:11">
      <c r="A2" s="1" t="s">
        <v>61</v>
      </c>
      <c r="B2" s="4">
        <v>2.1</v>
      </c>
      <c r="E2" s="77" t="s">
        <v>36</v>
      </c>
      <c r="F2" s="77"/>
      <c r="G2" s="77"/>
      <c r="H2" s="77"/>
      <c r="I2" s="77"/>
      <c r="J2" s="77"/>
      <c r="K2" s="77"/>
    </row>
    <row r="3" spans="1:11">
      <c r="A3" s="1" t="s">
        <v>62</v>
      </c>
      <c r="B3" s="4">
        <v>2.1</v>
      </c>
    </row>
    <row r="4" spans="1:11">
      <c r="A4" s="1"/>
    </row>
    <row r="5" spans="1:11">
      <c r="A5" s="1" t="s">
        <v>64</v>
      </c>
    </row>
    <row r="6" spans="1:11">
      <c r="A6" s="4" t="s">
        <v>42</v>
      </c>
      <c r="B6" s="4">
        <f>IF(B9&gt;0, B9/B8, 0)</f>
        <v>1252.8960021981043</v>
      </c>
    </row>
    <row r="7" spans="1:11">
      <c r="A7" s="4" t="s">
        <v>31</v>
      </c>
      <c r="B7">
        <v>1</v>
      </c>
    </row>
    <row r="8" spans="1:11">
      <c r="A8" s="4" t="s">
        <v>43</v>
      </c>
      <c r="B8">
        <v>363.95</v>
      </c>
    </row>
    <row r="9" spans="1:11">
      <c r="A9" s="4" t="s">
        <v>79</v>
      </c>
      <c r="B9">
        <v>455991.5</v>
      </c>
    </row>
    <row r="15" spans="1:11">
      <c r="A15" s="1" t="s">
        <v>37</v>
      </c>
    </row>
    <row r="16" spans="1:11" s="18" customFormat="1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>
      <c r="A17" s="6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>
      <c r="A18" s="4" t="s">
        <v>80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>
      <c r="A19" s="4" t="s">
        <v>81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>
      <c r="A20" s="4" t="s">
        <v>82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>
      <c r="A21" s="4" t="s">
        <v>83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>
      <c r="A22" s="4" t="s">
        <v>84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>
      <c r="A23" s="4" t="s">
        <v>85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>
      <c r="A24" s="4" t="s">
        <v>86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>
      <c r="A25" s="6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>
      <c r="A26" s="6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>
      <c r="A27" s="6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>
      <c r="A28" s="6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>
      <c r="A29" s="6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>
      <c r="A30" s="6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>
      <c r="A31" s="6" t="s">
        <v>70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/>
    <row r="33" spans="1:11">
      <c r="A33" s="6"/>
    </row>
    <row r="34" spans="1:11">
      <c r="A34" s="6"/>
    </row>
    <row r="35" spans="1:11">
      <c r="A35" s="6"/>
    </row>
    <row r="36" spans="1:11">
      <c r="A36" s="6"/>
    </row>
    <row r="37" spans="1:11">
      <c r="A37" s="6"/>
    </row>
    <row r="38" spans="1:11">
      <c r="A38" s="6"/>
    </row>
    <row r="39" spans="1:11">
      <c r="A39" s="6"/>
    </row>
    <row r="40" spans="1:11">
      <c r="A40" s="1" t="s">
        <v>39</v>
      </c>
    </row>
    <row r="41" spans="1:11" s="18" customFormat="1">
      <c r="A41" s="17" t="s">
        <v>38</v>
      </c>
      <c r="B41" s="12">
        <v>45107</v>
      </c>
      <c r="C41" s="12">
        <v>45199</v>
      </c>
      <c r="D41" s="12">
        <v>45291</v>
      </c>
      <c r="E41" s="12">
        <v>45382</v>
      </c>
      <c r="F41" s="12">
        <v>45473</v>
      </c>
      <c r="G41" s="12">
        <v>45565</v>
      </c>
      <c r="H41" s="12">
        <v>45657</v>
      </c>
      <c r="I41" s="12">
        <v>45747</v>
      </c>
      <c r="J41" s="12">
        <v>45838</v>
      </c>
      <c r="K41" s="12">
        <v>45930</v>
      </c>
    </row>
    <row r="42" spans="1:11" s="6" customFormat="1">
      <c r="A42" s="6" t="s">
        <v>6</v>
      </c>
      <c r="B42">
        <v>17164.46</v>
      </c>
      <c r="C42">
        <v>17774.47</v>
      </c>
      <c r="D42">
        <v>17195.240000000002</v>
      </c>
      <c r="E42">
        <v>17037.8</v>
      </c>
      <c r="F42">
        <v>17777.810000000001</v>
      </c>
      <c r="G42">
        <v>19990.36</v>
      </c>
      <c r="H42">
        <v>18790.169999999998</v>
      </c>
      <c r="I42">
        <v>18765</v>
      </c>
      <c r="J42">
        <v>21494.79</v>
      </c>
      <c r="K42">
        <v>19501.63</v>
      </c>
    </row>
    <row r="43" spans="1:11" s="6" customFormat="1">
      <c r="A43" s="6" t="s">
        <v>7</v>
      </c>
      <c r="B43">
        <v>10494.39</v>
      </c>
      <c r="C43">
        <v>11320.23</v>
      </c>
      <c r="D43">
        <v>10985.01</v>
      </c>
      <c r="E43">
        <v>10735.73</v>
      </c>
      <c r="F43">
        <v>11232.97</v>
      </c>
      <c r="G43">
        <v>13438.28</v>
      </c>
      <c r="H43">
        <v>12428.27</v>
      </c>
      <c r="I43">
        <v>12245.61</v>
      </c>
      <c r="J43">
        <v>14678.32</v>
      </c>
      <c r="K43">
        <v>12806.94</v>
      </c>
    </row>
    <row r="44" spans="1:11" s="6" customFormat="1">
      <c r="A44" s="6" t="s">
        <v>9</v>
      </c>
      <c r="B44">
        <v>722.3</v>
      </c>
      <c r="C44">
        <v>673.5</v>
      </c>
      <c r="D44">
        <v>820.26</v>
      </c>
      <c r="E44">
        <v>868</v>
      </c>
      <c r="F44">
        <v>771.13</v>
      </c>
      <c r="G44">
        <v>690.31</v>
      </c>
      <c r="H44">
        <v>803.4</v>
      </c>
      <c r="I44">
        <v>15391.28</v>
      </c>
      <c r="J44">
        <v>750.97</v>
      </c>
      <c r="K44">
        <v>738.84</v>
      </c>
    </row>
    <row r="45" spans="1:11" s="6" customFormat="1">
      <c r="A45" s="6" t="s">
        <v>10</v>
      </c>
      <c r="B45">
        <v>442.46</v>
      </c>
      <c r="C45">
        <v>453.04</v>
      </c>
      <c r="D45">
        <v>384.04</v>
      </c>
      <c r="E45">
        <v>385.09</v>
      </c>
      <c r="F45">
        <v>403.13</v>
      </c>
      <c r="G45">
        <v>416.18</v>
      </c>
      <c r="H45">
        <v>415.98</v>
      </c>
      <c r="I45">
        <v>411.03</v>
      </c>
      <c r="J45">
        <v>422.96</v>
      </c>
      <c r="K45">
        <v>434.8</v>
      </c>
    </row>
    <row r="46" spans="1:11" s="6" customFormat="1">
      <c r="A46" s="6" t="s">
        <v>11</v>
      </c>
      <c r="B46">
        <v>9.9</v>
      </c>
      <c r="C46">
        <v>9.8699999999999992</v>
      </c>
      <c r="D46">
        <v>11.94</v>
      </c>
      <c r="E46">
        <v>10.72</v>
      </c>
      <c r="F46">
        <v>9.6</v>
      </c>
      <c r="G46">
        <v>14.73</v>
      </c>
      <c r="H46">
        <v>9.82</v>
      </c>
      <c r="I46">
        <v>10.91</v>
      </c>
      <c r="J46">
        <v>16.47</v>
      </c>
      <c r="K46">
        <v>20.05</v>
      </c>
    </row>
    <row r="47" spans="1:11" s="6" customFormat="1">
      <c r="A47" s="6" t="s">
        <v>12</v>
      </c>
      <c r="B47">
        <v>6940.01</v>
      </c>
      <c r="C47">
        <v>6664.83</v>
      </c>
      <c r="D47">
        <v>6634.51</v>
      </c>
      <c r="E47">
        <v>6774.26</v>
      </c>
      <c r="F47">
        <v>6903.24</v>
      </c>
      <c r="G47">
        <v>6811.48</v>
      </c>
      <c r="H47">
        <v>6739.5</v>
      </c>
      <c r="I47">
        <v>21488.73</v>
      </c>
      <c r="J47">
        <v>7128.01</v>
      </c>
      <c r="K47">
        <v>6978.68</v>
      </c>
    </row>
    <row r="48" spans="1:11" s="6" customFormat="1">
      <c r="A48" s="6" t="s">
        <v>13</v>
      </c>
      <c r="B48">
        <v>1759.89</v>
      </c>
      <c r="C48">
        <v>1700.31</v>
      </c>
      <c r="D48">
        <v>1227.99</v>
      </c>
      <c r="E48">
        <v>1583.55</v>
      </c>
      <c r="F48">
        <v>1726.25</v>
      </c>
      <c r="G48">
        <v>1757.05</v>
      </c>
      <c r="H48">
        <v>1726.32</v>
      </c>
      <c r="I48">
        <v>1680.85</v>
      </c>
      <c r="J48">
        <v>1784.6</v>
      </c>
      <c r="K48">
        <v>1792.13</v>
      </c>
    </row>
    <row r="49" spans="1:11" s="6" customFormat="1">
      <c r="A49" s="6" t="s">
        <v>14</v>
      </c>
      <c r="B49">
        <v>5104.93</v>
      </c>
      <c r="C49">
        <v>4898.07</v>
      </c>
      <c r="D49">
        <v>5335.23</v>
      </c>
      <c r="E49">
        <v>5120.55</v>
      </c>
      <c r="F49">
        <v>5091.59</v>
      </c>
      <c r="G49">
        <v>4992.87</v>
      </c>
      <c r="H49">
        <v>4934.8</v>
      </c>
      <c r="I49">
        <v>19727.37</v>
      </c>
      <c r="J49">
        <v>5244.2</v>
      </c>
      <c r="K49">
        <v>5126.1099999999997</v>
      </c>
    </row>
    <row r="50" spans="1:11">
      <c r="A50" s="6" t="s">
        <v>8</v>
      </c>
      <c r="B50">
        <v>6670.07</v>
      </c>
      <c r="C50">
        <v>6454.24</v>
      </c>
      <c r="D50">
        <v>6210.23</v>
      </c>
      <c r="E50">
        <v>6302.07</v>
      </c>
      <c r="F50">
        <v>6544.84</v>
      </c>
      <c r="G50">
        <v>6552.08</v>
      </c>
      <c r="H50">
        <v>6361.9</v>
      </c>
      <c r="I50">
        <v>6519.39</v>
      </c>
      <c r="J50">
        <v>6816.47</v>
      </c>
      <c r="K50">
        <v>6694.69</v>
      </c>
    </row>
    <row r="51" spans="1:11">
      <c r="A51" s="6"/>
    </row>
    <row r="52" spans="1:11">
      <c r="A52" s="6"/>
    </row>
    <row r="53" spans="1:11">
      <c r="A53" s="6"/>
    </row>
    <row r="54" spans="1:11">
      <c r="A54" s="6"/>
    </row>
    <row r="55" spans="1:11">
      <c r="A55" s="1" t="s">
        <v>40</v>
      </c>
    </row>
    <row r="56" spans="1:11" s="18" customFormat="1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>
      <c r="A57" s="6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>
      <c r="A58" s="6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>
      <c r="A59" s="6" t="s">
        <v>71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>
      <c r="A60" s="6" t="s">
        <v>72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>
      <c r="A62" s="6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>
      <c r="A63" s="6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>
      <c r="A64" s="6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>
      <c r="A65" s="6" t="s">
        <v>73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>
      <c r="A67" s="6" t="s">
        <v>78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>
      <c r="A68" s="6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>
      <c r="A69" s="4" t="s">
        <v>87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>
      <c r="A70" s="4" t="s">
        <v>74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>
      <c r="A71" s="4" t="s">
        <v>75</v>
      </c>
      <c r="C71">
        <v>4026657100</v>
      </c>
    </row>
    <row r="72" spans="1:11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>
      <c r="A74" s="6"/>
    </row>
    <row r="75" spans="1:11">
      <c r="A75" s="6"/>
    </row>
    <row r="76" spans="1:11">
      <c r="A76" s="6"/>
    </row>
    <row r="77" spans="1:11">
      <c r="A77" s="6"/>
    </row>
    <row r="78" spans="1:11">
      <c r="A78" s="6"/>
    </row>
    <row r="79" spans="1:11">
      <c r="A79" s="6"/>
    </row>
    <row r="80" spans="1:11">
      <c r="A80" s="1" t="s">
        <v>41</v>
      </c>
    </row>
    <row r="81" spans="1:11" s="18" customFormat="1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>
      <c r="A82" s="6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>
      <c r="A83" s="6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>
      <c r="A84" s="6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>
      <c r="A85" s="6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>
      <c r="A86" s="6"/>
    </row>
    <row r="87" spans="1:11">
      <c r="A87" s="6"/>
    </row>
    <row r="88" spans="1:11">
      <c r="A88" s="6"/>
    </row>
    <row r="89" spans="1:11">
      <c r="A89" s="6"/>
    </row>
    <row r="90" spans="1:11" s="1" customFormat="1">
      <c r="A90" s="1" t="s">
        <v>77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>
      <c r="A92" s="1" t="s">
        <v>76</v>
      </c>
    </row>
    <row r="93" spans="1:11">
      <c r="A93" s="4" t="s">
        <v>89</v>
      </c>
      <c r="B93" s="24">
        <v>1207.08</v>
      </c>
      <c r="C93" s="24">
        <v>1214.74</v>
      </c>
      <c r="D93" s="24">
        <v>1220.43</v>
      </c>
      <c r="E93" s="24">
        <v>1225.8599999999999</v>
      </c>
      <c r="F93" s="24">
        <v>1229.22</v>
      </c>
      <c r="G93" s="24">
        <v>1230.8800000000001</v>
      </c>
      <c r="H93" s="24">
        <v>1232.33</v>
      </c>
      <c r="I93" s="24">
        <v>1242.8</v>
      </c>
      <c r="J93" s="24">
        <v>1248.47</v>
      </c>
      <c r="K93" s="24">
        <v>1251.4100000000001</v>
      </c>
    </row>
    <row r="95" spans="1:11">
      <c r="A95" s="4" t="s">
        <v>98</v>
      </c>
      <c r="G95" s="32">
        <f>(G93-F93)/F93</f>
        <v>1.3504498787849871E-3</v>
      </c>
      <c r="H95" s="32">
        <f t="shared" ref="H95:K95" si="0">(H93-G93)/G93</f>
        <v>1.1780189782918059E-3</v>
      </c>
      <c r="I95" s="32">
        <f t="shared" si="0"/>
        <v>8.4961008820689486E-3</v>
      </c>
      <c r="J95" s="32">
        <f t="shared" si="0"/>
        <v>4.5622787254587004E-3</v>
      </c>
      <c r="K95" s="32">
        <f t="shared" si="0"/>
        <v>2.3548823760283022E-3</v>
      </c>
    </row>
    <row r="97" spans="1:11">
      <c r="A97" s="4" t="s">
        <v>100</v>
      </c>
      <c r="B97" s="4">
        <f>B17-B18-B19-B20-B21</f>
        <v>23079.37</v>
      </c>
      <c r="C97" s="4">
        <f t="shared" ref="C97:K97" si="1">C17-C18-C19-C20-C21</f>
        <v>25635.349999999995</v>
      </c>
      <c r="D97" s="4">
        <f t="shared" si="1"/>
        <v>27297.86</v>
      </c>
      <c r="E97" s="4">
        <f t="shared" si="1"/>
        <v>27895.130000000005</v>
      </c>
      <c r="F97" s="4">
        <f t="shared" si="1"/>
        <v>27946.829999999998</v>
      </c>
      <c r="G97" s="4">
        <f t="shared" si="1"/>
        <v>25548.729999999996</v>
      </c>
      <c r="H97" s="4">
        <f t="shared" si="1"/>
        <v>30110.03</v>
      </c>
      <c r="I97" s="4">
        <f t="shared" si="1"/>
        <v>37635.94</v>
      </c>
      <c r="J97" s="4">
        <f t="shared" si="1"/>
        <v>37078.94</v>
      </c>
      <c r="K97" s="4">
        <f t="shared" si="1"/>
        <v>38572.61</v>
      </c>
    </row>
    <row r="98" spans="1:11">
      <c r="A98" s="4" t="s">
        <v>101</v>
      </c>
      <c r="B98" s="32">
        <f>B97/B17</f>
        <v>0.58887811574271343</v>
      </c>
      <c r="C98" s="32">
        <f t="shared" ref="C98:K98" si="2">C97/C17</f>
        <v>0.59941053507795616</v>
      </c>
      <c r="D98" s="32">
        <f t="shared" si="2"/>
        <v>0.62827447574095019</v>
      </c>
      <c r="E98" s="32">
        <f t="shared" si="2"/>
        <v>0.57706603987870819</v>
      </c>
      <c r="F98" s="32">
        <f t="shared" si="2"/>
        <v>0.565866197454022</v>
      </c>
      <c r="G98" s="32">
        <f t="shared" si="2"/>
        <v>0.51867747924425645</v>
      </c>
      <c r="H98" s="32">
        <f t="shared" si="2"/>
        <v>0.49650026201864172</v>
      </c>
      <c r="I98" s="32">
        <f t="shared" si="2"/>
        <v>0.53068887152009836</v>
      </c>
      <c r="J98" s="32">
        <f t="shared" si="2"/>
        <v>0.54582483585777175</v>
      </c>
      <c r="K98" s="32">
        <f t="shared" si="2"/>
        <v>0.51209372818571242</v>
      </c>
    </row>
    <row r="99" spans="1:11">
      <c r="A99" s="4" t="s">
        <v>103</v>
      </c>
      <c r="B99" s="32">
        <f>'Profit &amp; Loss'!C6/'Profit &amp; Loss'!B4</f>
        <v>0.39470990327132249</v>
      </c>
      <c r="C99" s="32">
        <f>'Profit &amp; Loss'!D6/'Profit &amp; Loss'!C4</f>
        <v>0.38628751671826345</v>
      </c>
      <c r="D99" s="32">
        <f>'Profit &amp; Loss'!E6/'Profit &amp; Loss'!D4</f>
        <v>0.42664769267098351</v>
      </c>
      <c r="E99" s="32">
        <f>'Profit &amp; Loss'!F6/'Profit &amp; Loss'!E4</f>
        <v>0.40015945525385194</v>
      </c>
      <c r="F99" s="32">
        <f>'Profit &amp; Loss'!G6/'Profit &amp; Loss'!F4</f>
        <v>0.34552692269532692</v>
      </c>
      <c r="G99" s="32">
        <f>'Profit &amp; Loss'!H6/'Profit &amp; Loss'!G4</f>
        <v>0.41868082899135062</v>
      </c>
      <c r="H99" s="32">
        <f>'Profit &amp; Loss'!I6/'Profit &amp; Loss'!H4</f>
        <v>0.42385118264562638</v>
      </c>
      <c r="I99" s="32">
        <f>'Profit &amp; Loss'!J6/'Profit &amp; Loss'!I4</f>
        <v>0.35515897496059945</v>
      </c>
      <c r="J99" s="32">
        <f>'Profit &amp; Loss'!K6/'Profit &amp; Loss'!J4</f>
        <v>0.38037262000761346</v>
      </c>
      <c r="K99" s="32">
        <f>'Profit &amp; Loss'!L6/'Profit &amp; Loss'!K4</f>
        <v>0.35038873740861731</v>
      </c>
    </row>
    <row r="100" spans="1:11">
      <c r="A100" s="4" t="s">
        <v>106</v>
      </c>
      <c r="B100" s="32">
        <f>('Profit &amp; Loss'!B6-'Profit &amp; Loss'!B8)/'Profit &amp; Loss'!B4</f>
        <v>0.34328576422289192</v>
      </c>
      <c r="C100" s="32">
        <f>('Profit &amp; Loss'!C6-'Profit &amp; Loss'!C8)/'Profit &amp; Loss'!C4</f>
        <v>0.33475621732339428</v>
      </c>
      <c r="D100" s="32">
        <f>('Profit &amp; Loss'!D6-'Profit &amp; Loss'!D8)/'Profit &amp; Loss'!D4</f>
        <v>0.35177636094229231</v>
      </c>
      <c r="E100" s="32">
        <f>('Profit &amp; Loss'!E6-'Profit &amp; Loss'!E8)/'Profit &amp; Loss'!E4</f>
        <v>0.35459099975630737</v>
      </c>
      <c r="F100" s="32">
        <f>('Profit &amp; Loss'!F6-'Profit &amp; Loss'!F8)/'Profit &amp; Loss'!F4</f>
        <v>0.35836108990700111</v>
      </c>
      <c r="G100" s="32">
        <f>('Profit &amp; Loss'!G6-'Profit &amp; Loss'!G8)/'Profit &amp; Loss'!G4</f>
        <v>0.31303264785326884</v>
      </c>
      <c r="H100" s="32">
        <f>('Profit &amp; Loss'!H6-'Profit &amp; Loss'!H8)/'Profit &amp; Loss'!H4</f>
        <v>0.3114994358931571</v>
      </c>
      <c r="I100" s="32">
        <f>('Profit &amp; Loss'!I6-'Profit &amp; Loss'!I8)/'Profit &amp; Loss'!I4</f>
        <v>0.33693706752616326</v>
      </c>
      <c r="J100" s="32">
        <f>('Profit &amp; Loss'!J6-'Profit &amp; Loss'!J8)/'Profit &amp; Loss'!J4</f>
        <v>0.34842932499793172</v>
      </c>
      <c r="K100" s="32">
        <f>('Profit &amp; Loss'!K6-'Profit &amp; Loss'!K8)/'Profit &amp; Loss'!K4</f>
        <v>0.3211903508261848</v>
      </c>
    </row>
    <row r="101" spans="1:11">
      <c r="A101" s="4" t="s">
        <v>107</v>
      </c>
      <c r="B101" s="4">
        <f>B30/B17</f>
        <v>0.23842687684507849</v>
      </c>
      <c r="C101" s="4">
        <f t="shared" ref="C101:K101" si="3">C30/C17</f>
        <v>0.2405896052151629</v>
      </c>
      <c r="D101" s="4">
        <f t="shared" si="3"/>
        <v>0.25941254263049918</v>
      </c>
      <c r="E101" s="4">
        <f t="shared" si="3"/>
        <v>0.26049729848707825</v>
      </c>
      <c r="F101" s="4">
        <f t="shared" si="3"/>
        <v>0.30991987883622846</v>
      </c>
      <c r="G101" s="4">
        <f t="shared" si="3"/>
        <v>0.26719186640802561</v>
      </c>
      <c r="H101" s="4">
        <f t="shared" si="3"/>
        <v>0.25134430898478244</v>
      </c>
      <c r="I101" s="4">
        <f t="shared" si="3"/>
        <v>0.27061368436652333</v>
      </c>
      <c r="J101" s="4">
        <f t="shared" si="3"/>
        <v>0.30116584334261615</v>
      </c>
      <c r="K101" s="4">
        <f t="shared" si="3"/>
        <v>0.46129964497060272</v>
      </c>
    </row>
    <row r="102" spans="1:11">
      <c r="A102" s="4" t="s">
        <v>109</v>
      </c>
      <c r="C102" s="4">
        <f>('Profit &amp; Loss'!C13-'Profit &amp; Loss'!B13)/'Profit &amp; Loss'!B13</f>
        <v>9.4184897523143699E-2</v>
      </c>
      <c r="D102" s="4">
        <f>('Profit &amp; Loss'!D13-'Profit &amp; Loss'!C13)/'Profit &amp; Loss'!C13</f>
        <v>9.0307187162867189E-2</v>
      </c>
      <c r="E102" s="4">
        <f>('Profit &amp; Loss'!E13-'Profit &amp; Loss'!D13)/'Profit &amp; Loss'!D13</f>
        <v>0.11226415363943579</v>
      </c>
      <c r="F102" s="4">
        <f>('Profit &amp; Loss'!F13-'Profit &amp; Loss'!E13)/'Profit &amp; Loss'!E13</f>
        <v>0.21219753037533193</v>
      </c>
      <c r="G102" s="4">
        <f>('Profit &amp; Loss'!G13-'Profit &amp; Loss'!F13)/'Profit &amp; Loss'!F13</f>
        <v>-0.14130125821657721</v>
      </c>
      <c r="H102" s="4">
        <f>('Profit &amp; Loss'!H13-'Profit &amp; Loss'!G13)/'Profit &amp; Loss'!G13</f>
        <v>0.15678939252669116</v>
      </c>
      <c r="I102" s="4">
        <f>('Profit &amp; Loss'!I13-'Profit &amp; Loss'!H13)/'Profit &amp; Loss'!H13</f>
        <v>0.24846840219768399</v>
      </c>
      <c r="J102" s="4">
        <f>('Profit &amp; Loss'!J13-'Profit &amp; Loss'!I13)/'Profit &amp; Loss'!I13</f>
        <v>6.1183099651693648E-2</v>
      </c>
      <c r="K102" s="4">
        <f>('Profit &amp; Loss'!K13-'Profit &amp; Loss'!J13)/'Profit &amp; Loss'!J13</f>
        <v>0.69438246108164592</v>
      </c>
    </row>
    <row r="103" spans="1:11">
      <c r="A103" s="4" t="s">
        <v>111</v>
      </c>
      <c r="B103" s="4">
        <f>'Profit &amp; Loss'!B13*'Profit &amp; Loss'!B18</f>
        <v>5.666666666666667</v>
      </c>
      <c r="C103" s="4">
        <f>'Profit &amp; Loss'!C13*'Profit &amp; Loss'!C18</f>
        <v>4.7500041161071502</v>
      </c>
      <c r="D103" s="4">
        <f>'Profit &amp; Loss'!D13*'Profit &amp; Loss'!D18</f>
        <v>5.1499963127750057</v>
      </c>
      <c r="E103" s="4">
        <f>'Profit &amp; Loss'!E13*'Profit &amp; Loss'!E18</f>
        <v>5.7500040787691908</v>
      </c>
      <c r="F103" s="4">
        <f>'Profit &amp; Loss'!F13*'Profit &amp; Loss'!F18</f>
        <v>10.149997559427931</v>
      </c>
      <c r="G103" s="4">
        <f>'Profit &amp; Loss'!G13*'Profit &amp; Loss'!G18</f>
        <v>10.749999999999998</v>
      </c>
      <c r="H103" s="4">
        <f>'Profit &amp; Loss'!H13*'Profit &amp; Loss'!H18</f>
        <v>11.500004057354767</v>
      </c>
      <c r="I103" s="4">
        <f>'Profit &amp; Loss'!I13*'Profit &amp; Loss'!I18</f>
        <v>15.500000000000004</v>
      </c>
      <c r="J103" s="4">
        <f>'Profit &amp; Loss'!J13*'Profit &amp; Loss'!J18</f>
        <v>13.749997997549</v>
      </c>
      <c r="K103" s="4">
        <f>'Profit &amp; Loss'!K13*'Profit &amp; Loss'!K18</f>
        <v>14.349997203154841</v>
      </c>
    </row>
    <row r="104" spans="1:11">
      <c r="A104" s="4" t="s">
        <v>112</v>
      </c>
      <c r="C104" s="32">
        <f>(C103/B103)-1</f>
        <v>-0.16176397951050292</v>
      </c>
      <c r="D104" s="32">
        <f t="shared" ref="D104:K104" si="4">(D103/C103)-1</f>
        <v>8.4208810537972356E-2</v>
      </c>
      <c r="E104" s="32">
        <f t="shared" si="4"/>
        <v>0.11650644574362401</v>
      </c>
      <c r="F104" s="32">
        <f t="shared" si="4"/>
        <v>0.76521571469921024</v>
      </c>
      <c r="G104" s="32">
        <f t="shared" si="4"/>
        <v>5.9113555156941722E-2</v>
      </c>
      <c r="H104" s="32">
        <f t="shared" si="4"/>
        <v>6.9767819288815591E-2</v>
      </c>
      <c r="I104" s="32">
        <f t="shared" si="4"/>
        <v>0.34782561142550739</v>
      </c>
      <c r="J104" s="32">
        <f t="shared" si="4"/>
        <v>-0.1129033549968389</v>
      </c>
      <c r="K104" s="32">
        <f t="shared" si="4"/>
        <v>4.3636312217121276E-2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Input Sheet</vt:lpstr>
      <vt:lpstr>share price</vt:lpstr>
      <vt:lpstr>teaser</vt:lpstr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aditya raj singh</cp:lastModifiedBy>
  <cp:lastPrinted>2026-01-04T19:08:00Z</cp:lastPrinted>
  <dcterms:created xsi:type="dcterms:W3CDTF">2012-08-17T09:55:37Z</dcterms:created>
  <dcterms:modified xsi:type="dcterms:W3CDTF">2026-01-04T19:10:12Z</dcterms:modified>
</cp:coreProperties>
</file>